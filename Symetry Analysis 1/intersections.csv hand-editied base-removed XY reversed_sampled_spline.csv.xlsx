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f\Documents\gits\blokart_POD_footrest\Symetry Analysis 1\"/>
    </mc:Choice>
  </mc:AlternateContent>
  <xr:revisionPtr revIDLastSave="0" documentId="13_ncr:9_{1D0A8D04-9A31-4112-9DE1-6B110949DE5A}" xr6:coauthVersionLast="47" xr6:coauthVersionMax="47" xr10:uidLastSave="{00000000-0000-0000-0000-000000000000}"/>
  <bookViews>
    <workbookView xWindow="-120" yWindow="-120" windowWidth="29040" windowHeight="15720" activeTab="1" xr2:uid="{5F51600E-FA88-4BC1-B622-D984901384A8}"/>
  </bookViews>
  <sheets>
    <sheet name="Chart1" sheetId="2" r:id="rId1"/>
    <sheet name="intersections.csv hand-editied " sheetId="1" r:id="rId2"/>
  </sheets>
  <calcPr calcId="0"/>
</workbook>
</file>

<file path=xl/calcChain.xml><?xml version="1.0" encoding="utf-8"?>
<calcChain xmlns="http://schemas.openxmlformats.org/spreadsheetml/2006/main">
  <c r="K93" i="1" l="1"/>
  <c r="J93" i="1"/>
  <c r="J99" i="1" s="1"/>
  <c r="K99" i="1" s="1"/>
  <c r="K89" i="1"/>
  <c r="J89" i="1"/>
  <c r="K86" i="1"/>
  <c r="J86" i="1"/>
  <c r="K83" i="1"/>
  <c r="J83" i="1"/>
  <c r="K81" i="1"/>
  <c r="J81" i="1"/>
  <c r="K78" i="1"/>
  <c r="J78" i="1"/>
  <c r="K30" i="1"/>
  <c r="J30" i="1"/>
  <c r="K19" i="1"/>
  <c r="J19" i="1"/>
  <c r="K13" i="1"/>
  <c r="J13" i="1"/>
  <c r="J11" i="1"/>
  <c r="K11" i="1"/>
  <c r="K10" i="1"/>
  <c r="J10" i="1"/>
  <c r="J3" i="1"/>
  <c r="K3" i="1"/>
  <c r="J98" i="1" l="1"/>
</calcChain>
</file>

<file path=xl/sharedStrings.xml><?xml version="1.0" encoding="utf-8"?>
<sst xmlns="http://schemas.openxmlformats.org/spreadsheetml/2006/main" count="12" uniqueCount="10">
  <si>
    <t>original_x</t>
  </si>
  <si>
    <t>original_y</t>
  </si>
  <si>
    <t>sample_x</t>
  </si>
  <si>
    <t>sample_y</t>
  </si>
  <si>
    <t>X</t>
  </si>
  <si>
    <t>Y</t>
  </si>
  <si>
    <t>Mean =</t>
  </si>
  <si>
    <t>s =</t>
  </si>
  <si>
    <t>mm</t>
  </si>
  <si>
    <t>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</si>
</sst>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 indent="1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399380235079984E-2"/>
          <c:y val="1.1093024283950889E-2"/>
          <c:w val="0.93372552183031454"/>
          <c:h val="0.93109268714379634"/>
        </c:manualLayout>
      </c:layout>
      <c:scatterChart>
        <c:scatterStyle val="lineMarker"/>
        <c:varyColors val="0"/>
        <c:ser>
          <c:idx val="0"/>
          <c:order val="0"/>
          <c:tx>
            <c:v>Smoothed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'intersections.csv hand-editied '!$C$3:$C$166</c:f>
              <c:numCache>
                <c:formatCode>0.00</c:formatCode>
                <c:ptCount val="164"/>
                <c:pt idx="0">
                  <c:v>4.75</c:v>
                </c:pt>
                <c:pt idx="1">
                  <c:v>5</c:v>
                </c:pt>
                <c:pt idx="2">
                  <c:v>5.25</c:v>
                </c:pt>
                <c:pt idx="3">
                  <c:v>5.5</c:v>
                </c:pt>
                <c:pt idx="4">
                  <c:v>5.75</c:v>
                </c:pt>
                <c:pt idx="5">
                  <c:v>6</c:v>
                </c:pt>
                <c:pt idx="6">
                  <c:v>6.25</c:v>
                </c:pt>
                <c:pt idx="7">
                  <c:v>6.5</c:v>
                </c:pt>
                <c:pt idx="8">
                  <c:v>6.75</c:v>
                </c:pt>
                <c:pt idx="9">
                  <c:v>7</c:v>
                </c:pt>
                <c:pt idx="10">
                  <c:v>7.25</c:v>
                </c:pt>
                <c:pt idx="11">
                  <c:v>7.5</c:v>
                </c:pt>
                <c:pt idx="12">
                  <c:v>7.75</c:v>
                </c:pt>
                <c:pt idx="13">
                  <c:v>8</c:v>
                </c:pt>
                <c:pt idx="14">
                  <c:v>8.25</c:v>
                </c:pt>
                <c:pt idx="15">
                  <c:v>8.5</c:v>
                </c:pt>
                <c:pt idx="16">
                  <c:v>8.75</c:v>
                </c:pt>
                <c:pt idx="17">
                  <c:v>9</c:v>
                </c:pt>
                <c:pt idx="18">
                  <c:v>9.25</c:v>
                </c:pt>
                <c:pt idx="19">
                  <c:v>9.5</c:v>
                </c:pt>
                <c:pt idx="20">
                  <c:v>9.75</c:v>
                </c:pt>
                <c:pt idx="21">
                  <c:v>10</c:v>
                </c:pt>
                <c:pt idx="22">
                  <c:v>10.25</c:v>
                </c:pt>
                <c:pt idx="23">
                  <c:v>10.5</c:v>
                </c:pt>
                <c:pt idx="24">
                  <c:v>10.75</c:v>
                </c:pt>
                <c:pt idx="25">
                  <c:v>11</c:v>
                </c:pt>
                <c:pt idx="26">
                  <c:v>11.25</c:v>
                </c:pt>
                <c:pt idx="27">
                  <c:v>11.5</c:v>
                </c:pt>
                <c:pt idx="28">
                  <c:v>11.75</c:v>
                </c:pt>
                <c:pt idx="29">
                  <c:v>12</c:v>
                </c:pt>
                <c:pt idx="30">
                  <c:v>12.25</c:v>
                </c:pt>
                <c:pt idx="31">
                  <c:v>12.5</c:v>
                </c:pt>
                <c:pt idx="32">
                  <c:v>12.75</c:v>
                </c:pt>
                <c:pt idx="33">
                  <c:v>13</c:v>
                </c:pt>
                <c:pt idx="34">
                  <c:v>13.25</c:v>
                </c:pt>
                <c:pt idx="35">
                  <c:v>13.5</c:v>
                </c:pt>
                <c:pt idx="36">
                  <c:v>13.75</c:v>
                </c:pt>
                <c:pt idx="37">
                  <c:v>14</c:v>
                </c:pt>
                <c:pt idx="38">
                  <c:v>14.25</c:v>
                </c:pt>
                <c:pt idx="39">
                  <c:v>14.5</c:v>
                </c:pt>
                <c:pt idx="40">
                  <c:v>14.75</c:v>
                </c:pt>
                <c:pt idx="41">
                  <c:v>15</c:v>
                </c:pt>
                <c:pt idx="42">
                  <c:v>15.25</c:v>
                </c:pt>
                <c:pt idx="43">
                  <c:v>15.5</c:v>
                </c:pt>
                <c:pt idx="44">
                  <c:v>15.75</c:v>
                </c:pt>
                <c:pt idx="45">
                  <c:v>16</c:v>
                </c:pt>
                <c:pt idx="46">
                  <c:v>16.25</c:v>
                </c:pt>
                <c:pt idx="47">
                  <c:v>16.5</c:v>
                </c:pt>
                <c:pt idx="48">
                  <c:v>16.75</c:v>
                </c:pt>
                <c:pt idx="49">
                  <c:v>17</c:v>
                </c:pt>
                <c:pt idx="50">
                  <c:v>17.25</c:v>
                </c:pt>
                <c:pt idx="51">
                  <c:v>17.5</c:v>
                </c:pt>
                <c:pt idx="52">
                  <c:v>17.75</c:v>
                </c:pt>
                <c:pt idx="53">
                  <c:v>18</c:v>
                </c:pt>
                <c:pt idx="54">
                  <c:v>18.25</c:v>
                </c:pt>
                <c:pt idx="55">
                  <c:v>18.5</c:v>
                </c:pt>
                <c:pt idx="56">
                  <c:v>18.75</c:v>
                </c:pt>
                <c:pt idx="57">
                  <c:v>19</c:v>
                </c:pt>
                <c:pt idx="58">
                  <c:v>19.25</c:v>
                </c:pt>
                <c:pt idx="59">
                  <c:v>19.5</c:v>
                </c:pt>
                <c:pt idx="60">
                  <c:v>19.75</c:v>
                </c:pt>
                <c:pt idx="61">
                  <c:v>20</c:v>
                </c:pt>
                <c:pt idx="62">
                  <c:v>20.25</c:v>
                </c:pt>
                <c:pt idx="63">
                  <c:v>20.5</c:v>
                </c:pt>
                <c:pt idx="64">
                  <c:v>20.75</c:v>
                </c:pt>
                <c:pt idx="65">
                  <c:v>21</c:v>
                </c:pt>
                <c:pt idx="66">
                  <c:v>21.25</c:v>
                </c:pt>
                <c:pt idx="67">
                  <c:v>21.5</c:v>
                </c:pt>
                <c:pt idx="68">
                  <c:v>21.75</c:v>
                </c:pt>
                <c:pt idx="69">
                  <c:v>22</c:v>
                </c:pt>
                <c:pt idx="70">
                  <c:v>22.25</c:v>
                </c:pt>
                <c:pt idx="71">
                  <c:v>22.5</c:v>
                </c:pt>
                <c:pt idx="72">
                  <c:v>22.75</c:v>
                </c:pt>
                <c:pt idx="73">
                  <c:v>23</c:v>
                </c:pt>
                <c:pt idx="74">
                  <c:v>23.25</c:v>
                </c:pt>
                <c:pt idx="75">
                  <c:v>23.5</c:v>
                </c:pt>
                <c:pt idx="76">
                  <c:v>23.75</c:v>
                </c:pt>
                <c:pt idx="77">
                  <c:v>24</c:v>
                </c:pt>
                <c:pt idx="78">
                  <c:v>24.25</c:v>
                </c:pt>
                <c:pt idx="79">
                  <c:v>24.5</c:v>
                </c:pt>
                <c:pt idx="80">
                  <c:v>24.75</c:v>
                </c:pt>
                <c:pt idx="81">
                  <c:v>25</c:v>
                </c:pt>
                <c:pt idx="82">
                  <c:v>25.25</c:v>
                </c:pt>
                <c:pt idx="83">
                  <c:v>25.5</c:v>
                </c:pt>
                <c:pt idx="84">
                  <c:v>25.75</c:v>
                </c:pt>
                <c:pt idx="85">
                  <c:v>26</c:v>
                </c:pt>
                <c:pt idx="86">
                  <c:v>26.25</c:v>
                </c:pt>
                <c:pt idx="87">
                  <c:v>26.5</c:v>
                </c:pt>
                <c:pt idx="88">
                  <c:v>26.75</c:v>
                </c:pt>
                <c:pt idx="89">
                  <c:v>27</c:v>
                </c:pt>
                <c:pt idx="90">
                  <c:v>27.25</c:v>
                </c:pt>
                <c:pt idx="91">
                  <c:v>27.5</c:v>
                </c:pt>
                <c:pt idx="92">
                  <c:v>27.75</c:v>
                </c:pt>
                <c:pt idx="93">
                  <c:v>28</c:v>
                </c:pt>
                <c:pt idx="94">
                  <c:v>28.25</c:v>
                </c:pt>
                <c:pt idx="95">
                  <c:v>28.5</c:v>
                </c:pt>
                <c:pt idx="96">
                  <c:v>28.75</c:v>
                </c:pt>
                <c:pt idx="97">
                  <c:v>29</c:v>
                </c:pt>
                <c:pt idx="98">
                  <c:v>29.25</c:v>
                </c:pt>
                <c:pt idx="99">
                  <c:v>29.5</c:v>
                </c:pt>
                <c:pt idx="100">
                  <c:v>29.75</c:v>
                </c:pt>
                <c:pt idx="101">
                  <c:v>30</c:v>
                </c:pt>
                <c:pt idx="102">
                  <c:v>30.25</c:v>
                </c:pt>
                <c:pt idx="103">
                  <c:v>30.5</c:v>
                </c:pt>
                <c:pt idx="104">
                  <c:v>30.75</c:v>
                </c:pt>
                <c:pt idx="105">
                  <c:v>31</c:v>
                </c:pt>
                <c:pt idx="106">
                  <c:v>31.25</c:v>
                </c:pt>
                <c:pt idx="107">
                  <c:v>31.5</c:v>
                </c:pt>
                <c:pt idx="108">
                  <c:v>31.75</c:v>
                </c:pt>
                <c:pt idx="109">
                  <c:v>32</c:v>
                </c:pt>
                <c:pt idx="110">
                  <c:v>32.25</c:v>
                </c:pt>
                <c:pt idx="111">
                  <c:v>32.5</c:v>
                </c:pt>
                <c:pt idx="112">
                  <c:v>32.75</c:v>
                </c:pt>
                <c:pt idx="113">
                  <c:v>33</c:v>
                </c:pt>
                <c:pt idx="114">
                  <c:v>33.25</c:v>
                </c:pt>
                <c:pt idx="115">
                  <c:v>33.5</c:v>
                </c:pt>
                <c:pt idx="116">
                  <c:v>33.75</c:v>
                </c:pt>
                <c:pt idx="117">
                  <c:v>34</c:v>
                </c:pt>
                <c:pt idx="118">
                  <c:v>34.25</c:v>
                </c:pt>
                <c:pt idx="119">
                  <c:v>34.5</c:v>
                </c:pt>
                <c:pt idx="120">
                  <c:v>34.75</c:v>
                </c:pt>
                <c:pt idx="121">
                  <c:v>35</c:v>
                </c:pt>
                <c:pt idx="122">
                  <c:v>35.25</c:v>
                </c:pt>
                <c:pt idx="123">
                  <c:v>35.5</c:v>
                </c:pt>
                <c:pt idx="124">
                  <c:v>35.75</c:v>
                </c:pt>
                <c:pt idx="125">
                  <c:v>36</c:v>
                </c:pt>
                <c:pt idx="126">
                  <c:v>36.25</c:v>
                </c:pt>
                <c:pt idx="127">
                  <c:v>36.5</c:v>
                </c:pt>
                <c:pt idx="128">
                  <c:v>36.75</c:v>
                </c:pt>
                <c:pt idx="129">
                  <c:v>37</c:v>
                </c:pt>
                <c:pt idx="130">
                  <c:v>37.25</c:v>
                </c:pt>
                <c:pt idx="131">
                  <c:v>37.5</c:v>
                </c:pt>
                <c:pt idx="132">
                  <c:v>37.75</c:v>
                </c:pt>
                <c:pt idx="133">
                  <c:v>38</c:v>
                </c:pt>
                <c:pt idx="134">
                  <c:v>38.25</c:v>
                </c:pt>
                <c:pt idx="135">
                  <c:v>38.5</c:v>
                </c:pt>
                <c:pt idx="136">
                  <c:v>38.75</c:v>
                </c:pt>
                <c:pt idx="137">
                  <c:v>39</c:v>
                </c:pt>
                <c:pt idx="138">
                  <c:v>39.25</c:v>
                </c:pt>
                <c:pt idx="139">
                  <c:v>39.5</c:v>
                </c:pt>
                <c:pt idx="140">
                  <c:v>39.75</c:v>
                </c:pt>
                <c:pt idx="141">
                  <c:v>40</c:v>
                </c:pt>
                <c:pt idx="142">
                  <c:v>40.25</c:v>
                </c:pt>
                <c:pt idx="143">
                  <c:v>40.5</c:v>
                </c:pt>
                <c:pt idx="144">
                  <c:v>40.75</c:v>
                </c:pt>
                <c:pt idx="145">
                  <c:v>41</c:v>
                </c:pt>
                <c:pt idx="146">
                  <c:v>41.25</c:v>
                </c:pt>
                <c:pt idx="147">
                  <c:v>41.5</c:v>
                </c:pt>
                <c:pt idx="148">
                  <c:v>41.75</c:v>
                </c:pt>
                <c:pt idx="149">
                  <c:v>42</c:v>
                </c:pt>
                <c:pt idx="150">
                  <c:v>42.25</c:v>
                </c:pt>
                <c:pt idx="151">
                  <c:v>42.5</c:v>
                </c:pt>
                <c:pt idx="152">
                  <c:v>42.75</c:v>
                </c:pt>
                <c:pt idx="153">
                  <c:v>43</c:v>
                </c:pt>
                <c:pt idx="154">
                  <c:v>43.25</c:v>
                </c:pt>
                <c:pt idx="155">
                  <c:v>43.5</c:v>
                </c:pt>
                <c:pt idx="156">
                  <c:v>43.75</c:v>
                </c:pt>
                <c:pt idx="157">
                  <c:v>44</c:v>
                </c:pt>
                <c:pt idx="158">
                  <c:v>44.25</c:v>
                </c:pt>
                <c:pt idx="159">
                  <c:v>44.5</c:v>
                </c:pt>
                <c:pt idx="160">
                  <c:v>44.75</c:v>
                </c:pt>
                <c:pt idx="161">
                  <c:v>45</c:v>
                </c:pt>
                <c:pt idx="162">
                  <c:v>45.25</c:v>
                </c:pt>
                <c:pt idx="163">
                  <c:v>45.5</c:v>
                </c:pt>
              </c:numCache>
            </c:numRef>
          </c:xVal>
          <c:yVal>
            <c:numRef>
              <c:f>'intersections.csv hand-editied '!$D$3:$D$166</c:f>
              <c:numCache>
                <c:formatCode>General</c:formatCode>
                <c:ptCount val="164"/>
                <c:pt idx="0">
                  <c:v>10.066287680303599</c:v>
                </c:pt>
                <c:pt idx="1">
                  <c:v>12.061790041779201</c:v>
                </c:pt>
                <c:pt idx="2">
                  <c:v>14.065246356211</c:v>
                </c:pt>
                <c:pt idx="3">
                  <c:v>16.085000567348999</c:v>
                </c:pt>
                <c:pt idx="4">
                  <c:v>18.131283482665602</c:v>
                </c:pt>
                <c:pt idx="5">
                  <c:v>20.217054808855</c:v>
                </c:pt>
                <c:pt idx="6">
                  <c:v>22.3480026643795</c:v>
                </c:pt>
                <c:pt idx="7">
                  <c:v>24.512788228385599</c:v>
                </c:pt>
                <c:pt idx="8">
                  <c:v>26.689207688130299</c:v>
                </c:pt>
                <c:pt idx="9">
                  <c:v>28.865668263519801</c:v>
                </c:pt>
                <c:pt idx="10">
                  <c:v>31.035026647141301</c:v>
                </c:pt>
                <c:pt idx="11">
                  <c:v>33.199677382682502</c:v>
                </c:pt>
                <c:pt idx="12">
                  <c:v>35.360257803217102</c:v>
                </c:pt>
                <c:pt idx="13">
                  <c:v>37.508670303888898</c:v>
                </c:pt>
                <c:pt idx="14">
                  <c:v>39.629074592621201</c:v>
                </c:pt>
                <c:pt idx="15">
                  <c:v>41.700755696887903</c:v>
                </c:pt>
                <c:pt idx="16">
                  <c:v>43.700193537018201</c:v>
                </c:pt>
                <c:pt idx="17">
                  <c:v>45.600269793373997</c:v>
                </c:pt>
                <c:pt idx="18">
                  <c:v>47.370512079573501</c:v>
                </c:pt>
                <c:pt idx="19">
                  <c:v>48.981339180430602</c:v>
                </c:pt>
                <c:pt idx="20">
                  <c:v>50.409533290025003</c:v>
                </c:pt>
                <c:pt idx="21">
                  <c:v>51.645350158146599</c:v>
                </c:pt>
                <c:pt idx="22">
                  <c:v>52.697556697049599</c:v>
                </c:pt>
                <c:pt idx="23">
                  <c:v>53.589139166736302</c:v>
                </c:pt>
                <c:pt idx="24">
                  <c:v>54.345026168783697</c:v>
                </c:pt>
                <c:pt idx="25">
                  <c:v>54.989503693523602</c:v>
                </c:pt>
                <c:pt idx="26">
                  <c:v>55.542305458857498</c:v>
                </c:pt>
                <c:pt idx="27">
                  <c:v>56.020055260649997</c:v>
                </c:pt>
                <c:pt idx="28">
                  <c:v>56.433542700984503</c:v>
                </c:pt>
                <c:pt idx="29">
                  <c:v>56.791933987427697</c:v>
                </c:pt>
                <c:pt idx="30">
                  <c:v>57.104395259418403</c:v>
                </c:pt>
                <c:pt idx="31">
                  <c:v>57.380092656395398</c:v>
                </c:pt>
                <c:pt idx="32">
                  <c:v>57.628192317797399</c:v>
                </c:pt>
                <c:pt idx="33">
                  <c:v>57.857860383063297</c:v>
                </c:pt>
                <c:pt idx="34">
                  <c:v>58.077372730217498</c:v>
                </c:pt>
                <c:pt idx="35">
                  <c:v>58.291404273348</c:v>
                </c:pt>
                <c:pt idx="36">
                  <c:v>58.502387155716498</c:v>
                </c:pt>
                <c:pt idx="37">
                  <c:v>58.711103887219302</c:v>
                </c:pt>
                <c:pt idx="38">
                  <c:v>58.917984024336498</c:v>
                </c:pt>
                <c:pt idx="39">
                  <c:v>59.122449863932403</c:v>
                </c:pt>
                <c:pt idx="40">
                  <c:v>59.323726866496699</c:v>
                </c:pt>
                <c:pt idx="41">
                  <c:v>59.521080137317803</c:v>
                </c:pt>
                <c:pt idx="42">
                  <c:v>59.7137756185912</c:v>
                </c:pt>
                <c:pt idx="43">
                  <c:v>59.901079252512197</c:v>
                </c:pt>
                <c:pt idx="44">
                  <c:v>60.082256981276203</c:v>
                </c:pt>
                <c:pt idx="45">
                  <c:v>60.256574747078503</c:v>
                </c:pt>
                <c:pt idx="46">
                  <c:v>60.423515745377301</c:v>
                </c:pt>
                <c:pt idx="47">
                  <c:v>60.583432184682103</c:v>
                </c:pt>
                <c:pt idx="48">
                  <c:v>60.736893526765101</c:v>
                </c:pt>
                <c:pt idx="49">
                  <c:v>60.884469233398498</c:v>
                </c:pt>
                <c:pt idx="50">
                  <c:v>61.026613016049303</c:v>
                </c:pt>
                <c:pt idx="51">
                  <c:v>61.163405639957702</c:v>
                </c:pt>
                <c:pt idx="52">
                  <c:v>61.294967467482799</c:v>
                </c:pt>
                <c:pt idx="53">
                  <c:v>61.4214334123849</c:v>
                </c:pt>
                <c:pt idx="54">
                  <c:v>61.542929447246401</c:v>
                </c:pt>
                <c:pt idx="55">
                  <c:v>61.659545779937297</c:v>
                </c:pt>
                <c:pt idx="56">
                  <c:v>61.771363677149402</c:v>
                </c:pt>
                <c:pt idx="57">
                  <c:v>61.878464405574697</c:v>
                </c:pt>
                <c:pt idx="58">
                  <c:v>61.980912397515397</c:v>
                </c:pt>
                <c:pt idx="59">
                  <c:v>62.078723019036701</c:v>
                </c:pt>
                <c:pt idx="60">
                  <c:v>62.1719924290935</c:v>
                </c:pt>
                <c:pt idx="61">
                  <c:v>62.2608492600083</c:v>
                </c:pt>
                <c:pt idx="62">
                  <c:v>62.345401725203203</c:v>
                </c:pt>
                <c:pt idx="63">
                  <c:v>62.425676274975999</c:v>
                </c:pt>
                <c:pt idx="64">
                  <c:v>62.5016789188426</c:v>
                </c:pt>
                <c:pt idx="65">
                  <c:v>62.5734156663191</c:v>
                </c:pt>
                <c:pt idx="66">
                  <c:v>62.640892526921697</c:v>
                </c:pt>
                <c:pt idx="67">
                  <c:v>62.704115510166602</c:v>
                </c:pt>
                <c:pt idx="68">
                  <c:v>62.763090625569902</c:v>
                </c:pt>
                <c:pt idx="69">
                  <c:v>62.817823882647701</c:v>
                </c:pt>
                <c:pt idx="70">
                  <c:v>62.8683212909161</c:v>
                </c:pt>
                <c:pt idx="71">
                  <c:v>62.914588859891303</c:v>
                </c:pt>
                <c:pt idx="72">
                  <c:v>62.956632599089303</c:v>
                </c:pt>
                <c:pt idx="73">
                  <c:v>62.994458518026399</c:v>
                </c:pt>
                <c:pt idx="74">
                  <c:v>63.028072626218702</c:v>
                </c:pt>
                <c:pt idx="75">
                  <c:v>63.057480933182198</c:v>
                </c:pt>
                <c:pt idx="76">
                  <c:v>63.0826894484332</c:v>
                </c:pt>
                <c:pt idx="77">
                  <c:v>63.1037041814877</c:v>
                </c:pt>
                <c:pt idx="78">
                  <c:v>63.120563162222602</c:v>
                </c:pt>
                <c:pt idx="79">
                  <c:v>63.133432501957699</c:v>
                </c:pt>
                <c:pt idx="80">
                  <c:v>63.142510332373099</c:v>
                </c:pt>
                <c:pt idx="81">
                  <c:v>63.1479947851494</c:v>
                </c:pt>
                <c:pt idx="82">
                  <c:v>63.1500527555473</c:v>
                </c:pt>
                <c:pt idx="83">
                  <c:v>63.148726193148804</c:v>
                </c:pt>
                <c:pt idx="84">
                  <c:v>63.1440258111164</c:v>
                </c:pt>
                <c:pt idx="85">
                  <c:v>63.1359623226125</c:v>
                </c:pt>
                <c:pt idx="86">
                  <c:v>63.124504872251102</c:v>
                </c:pt>
                <c:pt idx="87">
                  <c:v>63.109456330452197</c:v>
                </c:pt>
                <c:pt idx="88">
                  <c:v>63.090577999087401</c:v>
                </c:pt>
                <c:pt idx="89">
                  <c:v>63.0676311800284</c:v>
                </c:pt>
                <c:pt idx="90">
                  <c:v>63.040377175146702</c:v>
                </c:pt>
                <c:pt idx="91">
                  <c:v>63.008577286314001</c:v>
                </c:pt>
                <c:pt idx="92">
                  <c:v>62.971992815401698</c:v>
                </c:pt>
                <c:pt idx="93">
                  <c:v>62.930385064281701</c:v>
                </c:pt>
                <c:pt idx="94">
                  <c:v>62.883515334825397</c:v>
                </c:pt>
                <c:pt idx="95">
                  <c:v>62.8311449289045</c:v>
                </c:pt>
                <c:pt idx="96">
                  <c:v>62.773035148390598</c:v>
                </c:pt>
                <c:pt idx="97">
                  <c:v>62.708947295155198</c:v>
                </c:pt>
                <c:pt idx="98">
                  <c:v>62.638744370822202</c:v>
                </c:pt>
                <c:pt idx="99">
                  <c:v>62.562696176024197</c:v>
                </c:pt>
                <c:pt idx="100">
                  <c:v>62.481174211145898</c:v>
                </c:pt>
                <c:pt idx="101">
                  <c:v>62.3945499765723</c:v>
                </c:pt>
                <c:pt idx="102">
                  <c:v>62.303104998790701</c:v>
                </c:pt>
                <c:pt idx="103">
                  <c:v>62.206760908699302</c:v>
                </c:pt>
                <c:pt idx="104">
                  <c:v>62.105349363299098</c:v>
                </c:pt>
                <c:pt idx="105">
                  <c:v>61.998702019590802</c:v>
                </c:pt>
                <c:pt idx="106">
                  <c:v>61.886650534575303</c:v>
                </c:pt>
                <c:pt idx="107">
                  <c:v>61.769026565253597</c:v>
                </c:pt>
                <c:pt idx="108">
                  <c:v>61.645661768626297</c:v>
                </c:pt>
                <c:pt idx="109">
                  <c:v>61.516387801694499</c:v>
                </c:pt>
                <c:pt idx="110">
                  <c:v>61.3810821865587</c:v>
                </c:pt>
                <c:pt idx="111">
                  <c:v>61.239805905718598</c:v>
                </c:pt>
                <c:pt idx="112">
                  <c:v>61.092665806773397</c:v>
                </c:pt>
                <c:pt idx="113">
                  <c:v>60.939768737322701</c:v>
                </c:pt>
                <c:pt idx="114">
                  <c:v>60.781221544965803</c:v>
                </c:pt>
                <c:pt idx="115">
                  <c:v>60.617131077302098</c:v>
                </c:pt>
                <c:pt idx="116">
                  <c:v>60.447604181930899</c:v>
                </c:pt>
                <c:pt idx="117">
                  <c:v>60.272747706451703</c:v>
                </c:pt>
                <c:pt idx="118">
                  <c:v>60.092710822144902</c:v>
                </c:pt>
                <c:pt idx="119">
                  <c:v>59.907814901605903</c:v>
                </c:pt>
                <c:pt idx="120">
                  <c:v>59.718534009476301</c:v>
                </c:pt>
                <c:pt idx="121">
                  <c:v>59.525484082233604</c:v>
                </c:pt>
                <c:pt idx="122">
                  <c:v>59.3291615236392</c:v>
                </c:pt>
                <c:pt idx="123">
                  <c:v>59.129547278264603</c:v>
                </c:pt>
                <c:pt idx="124">
                  <c:v>58.926493323836802</c:v>
                </c:pt>
                <c:pt idx="125">
                  <c:v>58.7198466767084</c:v>
                </c:pt>
                <c:pt idx="126">
                  <c:v>58.509123446100403</c:v>
                </c:pt>
                <c:pt idx="127">
                  <c:v>58.292543912829103</c:v>
                </c:pt>
                <c:pt idx="128">
                  <c:v>58.067183932754801</c:v>
                </c:pt>
                <c:pt idx="129">
                  <c:v>57.827028006313903</c:v>
                </c:pt>
                <c:pt idx="130">
                  <c:v>57.565332811867997</c:v>
                </c:pt>
                <c:pt idx="131">
                  <c:v>57.275355027778602</c:v>
                </c:pt>
                <c:pt idx="132">
                  <c:v>56.950351332407301</c:v>
                </c:pt>
                <c:pt idx="133">
                  <c:v>56.583578404115798</c:v>
                </c:pt>
                <c:pt idx="134">
                  <c:v>56.168292921265603</c:v>
                </c:pt>
                <c:pt idx="135">
                  <c:v>55.697751562218301</c:v>
                </c:pt>
                <c:pt idx="136">
                  <c:v>55.165108243012803</c:v>
                </c:pt>
                <c:pt idx="137">
                  <c:v>54.560582718035199</c:v>
                </c:pt>
                <c:pt idx="138">
                  <c:v>53.870369774218098</c:v>
                </c:pt>
                <c:pt idx="139">
                  <c:v>53.076559069696799</c:v>
                </c:pt>
                <c:pt idx="140">
                  <c:v>52.159212942067697</c:v>
                </c:pt>
                <c:pt idx="141">
                  <c:v>51.098791540127998</c:v>
                </c:pt>
                <c:pt idx="142">
                  <c:v>49.881402201918597</c:v>
                </c:pt>
                <c:pt idx="143">
                  <c:v>48.511147259104703</c:v>
                </c:pt>
                <c:pt idx="144">
                  <c:v>47.0061792260665</c:v>
                </c:pt>
                <c:pt idx="145">
                  <c:v>45.393373101947397</c:v>
                </c:pt>
                <c:pt idx="146">
                  <c:v>43.6964289182676</c:v>
                </c:pt>
                <c:pt idx="147">
                  <c:v>41.932556366377597</c:v>
                </c:pt>
                <c:pt idx="148">
                  <c:v>40.117718712474399</c:v>
                </c:pt>
                <c:pt idx="149">
                  <c:v>38.261442987363502</c:v>
                </c:pt>
                <c:pt idx="150">
                  <c:v>36.365806601809197</c:v>
                </c:pt>
                <c:pt idx="151">
                  <c:v>34.432471208845698</c:v>
                </c:pt>
                <c:pt idx="152">
                  <c:v>32.463098461507201</c:v>
                </c:pt>
                <c:pt idx="153">
                  <c:v>30.459350012827901</c:v>
                </c:pt>
                <c:pt idx="154">
                  <c:v>28.422887515842</c:v>
                </c:pt>
                <c:pt idx="155">
                  <c:v>26.355372623583701</c:v>
                </c:pt>
                <c:pt idx="156">
                  <c:v>24.258395971288301</c:v>
                </c:pt>
                <c:pt idx="157">
                  <c:v>22.1330499294289</c:v>
                </c:pt>
                <c:pt idx="158">
                  <c:v>19.9861235442207</c:v>
                </c:pt>
                <c:pt idx="159">
                  <c:v>17.833300066954202</c:v>
                </c:pt>
                <c:pt idx="160">
                  <c:v>15.6869648312103</c:v>
                </c:pt>
                <c:pt idx="161">
                  <c:v>13.550715217091099</c:v>
                </c:pt>
                <c:pt idx="162">
                  <c:v>11.420717266992099</c:v>
                </c:pt>
                <c:pt idx="163">
                  <c:v>9.2922738071524105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E-4BF8-9382-DD36BDC4F1C5}"/>
            </c:ext>
          </c:extLst>
        </c:ser>
        <c:ser>
          <c:idx val="1"/>
          <c:order val="1"/>
          <c:tx>
            <c:v>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'intersections.csv hand-editied '!$A$3:$A$110</c:f>
              <c:numCache>
                <c:formatCode>General</c:formatCode>
                <c:ptCount val="108"/>
                <c:pt idx="0">
                  <c:v>4.7910000000000004</c:v>
                </c:pt>
                <c:pt idx="1">
                  <c:v>5</c:v>
                </c:pt>
                <c:pt idx="2">
                  <c:v>5.1459999999999999</c:v>
                </c:pt>
                <c:pt idx="3">
                  <c:v>5.4119999999999999</c:v>
                </c:pt>
                <c:pt idx="4">
                  <c:v>5.6710000000000003</c:v>
                </c:pt>
                <c:pt idx="5">
                  <c:v>5.7240000000000002</c:v>
                </c:pt>
                <c:pt idx="6">
                  <c:v>5.8109999999999999</c:v>
                </c:pt>
                <c:pt idx="7">
                  <c:v>5.8179999999999996</c:v>
                </c:pt>
                <c:pt idx="8">
                  <c:v>5.992</c:v>
                </c:pt>
                <c:pt idx="9">
                  <c:v>6</c:v>
                </c:pt>
                <c:pt idx="10">
                  <c:v>6.0869999999999997</c:v>
                </c:pt>
                <c:pt idx="11">
                  <c:v>6.1289999999999996</c:v>
                </c:pt>
                <c:pt idx="12">
                  <c:v>6.1909999999999998</c:v>
                </c:pt>
                <c:pt idx="13">
                  <c:v>6.2249999999999996</c:v>
                </c:pt>
                <c:pt idx="14">
                  <c:v>6.3109999999999999</c:v>
                </c:pt>
                <c:pt idx="15">
                  <c:v>6.4</c:v>
                </c:pt>
                <c:pt idx="16">
                  <c:v>6.45</c:v>
                </c:pt>
                <c:pt idx="17">
                  <c:v>6.5549999999999997</c:v>
                </c:pt>
                <c:pt idx="18">
                  <c:v>6.7859999999999996</c:v>
                </c:pt>
                <c:pt idx="19">
                  <c:v>6.8879999999999999</c:v>
                </c:pt>
                <c:pt idx="20">
                  <c:v>7</c:v>
                </c:pt>
                <c:pt idx="21">
                  <c:v>7.258</c:v>
                </c:pt>
                <c:pt idx="22">
                  <c:v>7.4</c:v>
                </c:pt>
                <c:pt idx="23">
                  <c:v>7.52</c:v>
                </c:pt>
                <c:pt idx="24">
                  <c:v>7.6020000000000003</c:v>
                </c:pt>
                <c:pt idx="25">
                  <c:v>7.7549999999999999</c:v>
                </c:pt>
                <c:pt idx="26">
                  <c:v>7.843</c:v>
                </c:pt>
                <c:pt idx="27">
                  <c:v>8.0950000000000006</c:v>
                </c:pt>
                <c:pt idx="28">
                  <c:v>8.4290000000000003</c:v>
                </c:pt>
                <c:pt idx="29">
                  <c:v>8.5510000000000002</c:v>
                </c:pt>
                <c:pt idx="30">
                  <c:v>8.6980000000000004</c:v>
                </c:pt>
                <c:pt idx="31">
                  <c:v>9</c:v>
                </c:pt>
                <c:pt idx="32">
                  <c:v>9.173</c:v>
                </c:pt>
                <c:pt idx="33">
                  <c:v>9.2270000000000003</c:v>
                </c:pt>
                <c:pt idx="34">
                  <c:v>9.2880000000000003</c:v>
                </c:pt>
                <c:pt idx="35">
                  <c:v>9.3729999999999993</c:v>
                </c:pt>
                <c:pt idx="36">
                  <c:v>9.4019999999999992</c:v>
                </c:pt>
                <c:pt idx="37">
                  <c:v>9.52</c:v>
                </c:pt>
                <c:pt idx="38">
                  <c:v>9.5579999999999998</c:v>
                </c:pt>
                <c:pt idx="39">
                  <c:v>9.6660000000000004</c:v>
                </c:pt>
                <c:pt idx="40">
                  <c:v>9.7309999999999999</c:v>
                </c:pt>
                <c:pt idx="41">
                  <c:v>9.8119999999999994</c:v>
                </c:pt>
                <c:pt idx="42">
                  <c:v>9.9220000000000006</c:v>
                </c:pt>
                <c:pt idx="43">
                  <c:v>10</c:v>
                </c:pt>
                <c:pt idx="44">
                  <c:v>10.327</c:v>
                </c:pt>
                <c:pt idx="45">
                  <c:v>10.789</c:v>
                </c:pt>
                <c:pt idx="46">
                  <c:v>11.259</c:v>
                </c:pt>
                <c:pt idx="47">
                  <c:v>13</c:v>
                </c:pt>
                <c:pt idx="48">
                  <c:v>13.394</c:v>
                </c:pt>
                <c:pt idx="49">
                  <c:v>14</c:v>
                </c:pt>
                <c:pt idx="50">
                  <c:v>14.342000000000001</c:v>
                </c:pt>
                <c:pt idx="51">
                  <c:v>16</c:v>
                </c:pt>
                <c:pt idx="52">
                  <c:v>17</c:v>
                </c:pt>
                <c:pt idx="53">
                  <c:v>17.172000000000001</c:v>
                </c:pt>
                <c:pt idx="54">
                  <c:v>18</c:v>
                </c:pt>
                <c:pt idx="55">
                  <c:v>19</c:v>
                </c:pt>
                <c:pt idx="56">
                  <c:v>19.274000000000001</c:v>
                </c:pt>
                <c:pt idx="57">
                  <c:v>20</c:v>
                </c:pt>
                <c:pt idx="58">
                  <c:v>24</c:v>
                </c:pt>
                <c:pt idx="59">
                  <c:v>25</c:v>
                </c:pt>
                <c:pt idx="60">
                  <c:v>26</c:v>
                </c:pt>
                <c:pt idx="61">
                  <c:v>29</c:v>
                </c:pt>
                <c:pt idx="62">
                  <c:v>30</c:v>
                </c:pt>
                <c:pt idx="63">
                  <c:v>32</c:v>
                </c:pt>
                <c:pt idx="64">
                  <c:v>34</c:v>
                </c:pt>
                <c:pt idx="65">
                  <c:v>34.399000000000001</c:v>
                </c:pt>
                <c:pt idx="66">
                  <c:v>35</c:v>
                </c:pt>
                <c:pt idx="67">
                  <c:v>35.658999999999999</c:v>
                </c:pt>
                <c:pt idx="68">
                  <c:v>36</c:v>
                </c:pt>
                <c:pt idx="69">
                  <c:v>36.494999999999997</c:v>
                </c:pt>
                <c:pt idx="70">
                  <c:v>38.636000000000003</c:v>
                </c:pt>
                <c:pt idx="71">
                  <c:v>39</c:v>
                </c:pt>
                <c:pt idx="72">
                  <c:v>39.146000000000001</c:v>
                </c:pt>
                <c:pt idx="73">
                  <c:v>39.534999999999997</c:v>
                </c:pt>
                <c:pt idx="74">
                  <c:v>39.924999999999997</c:v>
                </c:pt>
                <c:pt idx="75">
                  <c:v>40</c:v>
                </c:pt>
                <c:pt idx="76">
                  <c:v>40.103000000000002</c:v>
                </c:pt>
                <c:pt idx="77">
                  <c:v>40.265000000000001</c:v>
                </c:pt>
                <c:pt idx="78">
                  <c:v>40.345999999999997</c:v>
                </c:pt>
                <c:pt idx="79">
                  <c:v>40.44</c:v>
                </c:pt>
                <c:pt idx="80">
                  <c:v>40.500999999999998</c:v>
                </c:pt>
                <c:pt idx="81">
                  <c:v>40.529000000000003</c:v>
                </c:pt>
                <c:pt idx="82">
                  <c:v>40.656999999999996</c:v>
                </c:pt>
                <c:pt idx="83">
                  <c:v>40.704000000000001</c:v>
                </c:pt>
                <c:pt idx="84">
                  <c:v>40.808</c:v>
                </c:pt>
                <c:pt idx="85">
                  <c:v>40.813000000000002</c:v>
                </c:pt>
                <c:pt idx="86">
                  <c:v>40.962000000000003</c:v>
                </c:pt>
                <c:pt idx="87">
                  <c:v>40.969000000000001</c:v>
                </c:pt>
                <c:pt idx="88">
                  <c:v>41</c:v>
                </c:pt>
                <c:pt idx="89">
                  <c:v>41.639000000000003</c:v>
                </c:pt>
                <c:pt idx="90">
                  <c:v>43.537999999999997</c:v>
                </c:pt>
                <c:pt idx="91">
                  <c:v>43.654000000000003</c:v>
                </c:pt>
                <c:pt idx="92">
                  <c:v>43.777999999999999</c:v>
                </c:pt>
                <c:pt idx="93">
                  <c:v>43.832999999999998</c:v>
                </c:pt>
                <c:pt idx="94">
                  <c:v>43.953000000000003</c:v>
                </c:pt>
                <c:pt idx="95">
                  <c:v>44</c:v>
                </c:pt>
                <c:pt idx="96">
                  <c:v>44.128</c:v>
                </c:pt>
                <c:pt idx="97">
                  <c:v>44.232999999999997</c:v>
                </c:pt>
                <c:pt idx="98">
                  <c:v>44.34</c:v>
                </c:pt>
                <c:pt idx="99">
                  <c:v>44.445</c:v>
                </c:pt>
                <c:pt idx="100">
                  <c:v>44.523000000000003</c:v>
                </c:pt>
                <c:pt idx="101">
                  <c:v>44.582999999999998</c:v>
                </c:pt>
                <c:pt idx="102">
                  <c:v>44.613</c:v>
                </c:pt>
                <c:pt idx="103">
                  <c:v>44.73</c:v>
                </c:pt>
                <c:pt idx="104">
                  <c:v>44.787999999999997</c:v>
                </c:pt>
                <c:pt idx="105">
                  <c:v>44.838999999999999</c:v>
                </c:pt>
                <c:pt idx="106">
                  <c:v>45.183</c:v>
                </c:pt>
                <c:pt idx="107">
                  <c:v>45.334000000000003</c:v>
                </c:pt>
              </c:numCache>
            </c:numRef>
          </c:xVal>
          <c:yVal>
            <c:numRef>
              <c:f>'intersections.csv hand-editied '!$B$3:$B$110</c:f>
              <c:numCache>
                <c:formatCode>General</c:formatCode>
                <c:ptCount val="108"/>
                <c:pt idx="0">
                  <c:v>11</c:v>
                </c:pt>
                <c:pt idx="1">
                  <c:v>12.09</c:v>
                </c:pt>
                <c:pt idx="2">
                  <c:v>13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18</c:v>
                </c:pt>
                <c:pt idx="8">
                  <c:v>20</c:v>
                </c:pt>
                <c:pt idx="9">
                  <c:v>20.239999999999998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21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25</c:v>
                </c:pt>
                <c:pt idx="18">
                  <c:v>27</c:v>
                </c:pt>
                <c:pt idx="19">
                  <c:v>28</c:v>
                </c:pt>
                <c:pt idx="20">
                  <c:v>29.728000000000002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38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45.646999999999998</c:v>
                </c:pt>
                <c:pt idx="32">
                  <c:v>47</c:v>
                </c:pt>
                <c:pt idx="33">
                  <c:v>47</c:v>
                </c:pt>
                <c:pt idx="34">
                  <c:v>48</c:v>
                </c:pt>
                <c:pt idx="35">
                  <c:v>48</c:v>
                </c:pt>
                <c:pt idx="36">
                  <c:v>49</c:v>
                </c:pt>
                <c:pt idx="37">
                  <c:v>49</c:v>
                </c:pt>
                <c:pt idx="38">
                  <c:v>50</c:v>
                </c:pt>
                <c:pt idx="39">
                  <c:v>50</c:v>
                </c:pt>
                <c:pt idx="40">
                  <c:v>51</c:v>
                </c:pt>
                <c:pt idx="41">
                  <c:v>51</c:v>
                </c:pt>
                <c:pt idx="42">
                  <c:v>52</c:v>
                </c:pt>
                <c:pt idx="43">
                  <c:v>52.110999999999997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57.515999999999998</c:v>
                </c:pt>
                <c:pt idx="48">
                  <c:v>58</c:v>
                </c:pt>
                <c:pt idx="49">
                  <c:v>58.613999999999997</c:v>
                </c:pt>
                <c:pt idx="50">
                  <c:v>59</c:v>
                </c:pt>
                <c:pt idx="51">
                  <c:v>60.34</c:v>
                </c:pt>
                <c:pt idx="52">
                  <c:v>60.839500000000001</c:v>
                </c:pt>
                <c:pt idx="53">
                  <c:v>61</c:v>
                </c:pt>
                <c:pt idx="54">
                  <c:v>61.417999999999999</c:v>
                </c:pt>
                <c:pt idx="55">
                  <c:v>61.872</c:v>
                </c:pt>
                <c:pt idx="56">
                  <c:v>62</c:v>
                </c:pt>
                <c:pt idx="57">
                  <c:v>62.253</c:v>
                </c:pt>
                <c:pt idx="58">
                  <c:v>63.116</c:v>
                </c:pt>
                <c:pt idx="59">
                  <c:v>63.136000000000003</c:v>
                </c:pt>
                <c:pt idx="60">
                  <c:v>63.12</c:v>
                </c:pt>
                <c:pt idx="61">
                  <c:v>62.747999999999998</c:v>
                </c:pt>
                <c:pt idx="62">
                  <c:v>62.36</c:v>
                </c:pt>
                <c:pt idx="63">
                  <c:v>61.533999999999999</c:v>
                </c:pt>
                <c:pt idx="64">
                  <c:v>60.289000000000001</c:v>
                </c:pt>
                <c:pt idx="65">
                  <c:v>60</c:v>
                </c:pt>
                <c:pt idx="66">
                  <c:v>59.475999999999999</c:v>
                </c:pt>
                <c:pt idx="67">
                  <c:v>59</c:v>
                </c:pt>
                <c:pt idx="68">
                  <c:v>58.595500000000001</c:v>
                </c:pt>
                <c:pt idx="69">
                  <c:v>58</c:v>
                </c:pt>
                <c:pt idx="70">
                  <c:v>55</c:v>
                </c:pt>
                <c:pt idx="71">
                  <c:v>54.290999999999997</c:v>
                </c:pt>
                <c:pt idx="72">
                  <c:v>54</c:v>
                </c:pt>
                <c:pt idx="73">
                  <c:v>53</c:v>
                </c:pt>
                <c:pt idx="74">
                  <c:v>52</c:v>
                </c:pt>
                <c:pt idx="75">
                  <c:v>51.940333333333299</c:v>
                </c:pt>
                <c:pt idx="76">
                  <c:v>51</c:v>
                </c:pt>
                <c:pt idx="77">
                  <c:v>50</c:v>
                </c:pt>
                <c:pt idx="78">
                  <c:v>50</c:v>
                </c:pt>
                <c:pt idx="79">
                  <c:v>49</c:v>
                </c:pt>
                <c:pt idx="80">
                  <c:v>49</c:v>
                </c:pt>
                <c:pt idx="81">
                  <c:v>48</c:v>
                </c:pt>
                <c:pt idx="82">
                  <c:v>48</c:v>
                </c:pt>
                <c:pt idx="83">
                  <c:v>47</c:v>
                </c:pt>
                <c:pt idx="84">
                  <c:v>46</c:v>
                </c:pt>
                <c:pt idx="85">
                  <c:v>47</c:v>
                </c:pt>
                <c:pt idx="86">
                  <c:v>45</c:v>
                </c:pt>
                <c:pt idx="87">
                  <c:v>46</c:v>
                </c:pt>
                <c:pt idx="88">
                  <c:v>45.120750000000001</c:v>
                </c:pt>
                <c:pt idx="89">
                  <c:v>40</c:v>
                </c:pt>
                <c:pt idx="90">
                  <c:v>26</c:v>
                </c:pt>
                <c:pt idx="91">
                  <c:v>25</c:v>
                </c:pt>
                <c:pt idx="92">
                  <c:v>24</c:v>
                </c:pt>
                <c:pt idx="93">
                  <c:v>24</c:v>
                </c:pt>
                <c:pt idx="94">
                  <c:v>23</c:v>
                </c:pt>
                <c:pt idx="95">
                  <c:v>22.389250000000001</c:v>
                </c:pt>
                <c:pt idx="96">
                  <c:v>21</c:v>
                </c:pt>
                <c:pt idx="97">
                  <c:v>20</c:v>
                </c:pt>
                <c:pt idx="98">
                  <c:v>19</c:v>
                </c:pt>
                <c:pt idx="99">
                  <c:v>18</c:v>
                </c:pt>
                <c:pt idx="100">
                  <c:v>18</c:v>
                </c:pt>
                <c:pt idx="101">
                  <c:v>17</c:v>
                </c:pt>
                <c:pt idx="102">
                  <c:v>16</c:v>
                </c:pt>
                <c:pt idx="103">
                  <c:v>16</c:v>
                </c:pt>
                <c:pt idx="104">
                  <c:v>15</c:v>
                </c:pt>
                <c:pt idx="105">
                  <c:v>15</c:v>
                </c:pt>
                <c:pt idx="106">
                  <c:v>12</c:v>
                </c:pt>
                <c:pt idx="107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5E-4BF8-9382-DD36BDC4F1C5}"/>
            </c:ext>
          </c:extLst>
        </c:ser>
        <c:ser>
          <c:idx val="2"/>
          <c:order val="2"/>
          <c:tx>
            <c:v>Center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'intersections.csv hand-editied '!$J$3:$J$93</c:f>
              <c:numCache>
                <c:formatCode>0.0000</c:formatCode>
                <c:ptCount val="91"/>
                <c:pt idx="0">
                  <c:v>25.0625</c:v>
                </c:pt>
                <c:pt idx="7">
                  <c:v>25.012499999999999</c:v>
                </c:pt>
                <c:pt idx="8">
                  <c:v>25.070999999999998</c:v>
                </c:pt>
                <c:pt idx="10">
                  <c:v>25.126999999999999</c:v>
                </c:pt>
                <c:pt idx="16">
                  <c:v>25.075500000000002</c:v>
                </c:pt>
                <c:pt idx="27">
                  <c:v>25.132000000000001</c:v>
                </c:pt>
                <c:pt idx="75">
                  <c:v>24.923499999999997</c:v>
                </c:pt>
                <c:pt idx="78">
                  <c:v>24.930999999999997</c:v>
                </c:pt>
                <c:pt idx="80">
                  <c:v>24.967500000000001</c:v>
                </c:pt>
                <c:pt idx="83">
                  <c:v>24.947500000000002</c:v>
                </c:pt>
                <c:pt idx="86">
                  <c:v>24.944499999999998</c:v>
                </c:pt>
                <c:pt idx="90">
                  <c:v>25.000499999999999</c:v>
                </c:pt>
              </c:numCache>
            </c:numRef>
          </c:xVal>
          <c:yVal>
            <c:numRef>
              <c:f>'intersections.csv hand-editied '!$K$3:$K$93</c:f>
              <c:numCache>
                <c:formatCode>General</c:formatCode>
                <c:ptCount val="91"/>
                <c:pt idx="0">
                  <c:v>11</c:v>
                </c:pt>
                <c:pt idx="7">
                  <c:v>16</c:v>
                </c:pt>
                <c:pt idx="8">
                  <c:v>16</c:v>
                </c:pt>
                <c:pt idx="10">
                  <c:v>17</c:v>
                </c:pt>
                <c:pt idx="16">
                  <c:v>19</c:v>
                </c:pt>
                <c:pt idx="27">
                  <c:v>23</c:v>
                </c:pt>
                <c:pt idx="75">
                  <c:v>52</c:v>
                </c:pt>
                <c:pt idx="78">
                  <c:v>53</c:v>
                </c:pt>
                <c:pt idx="80">
                  <c:v>54</c:v>
                </c:pt>
                <c:pt idx="83">
                  <c:v>55</c:v>
                </c:pt>
                <c:pt idx="86">
                  <c:v>58</c:v>
                </c:pt>
                <c:pt idx="90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5E-4BF8-9382-DD36BDC4F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669664"/>
        <c:axId val="2021743216"/>
      </c:scatterChart>
      <c:valAx>
        <c:axId val="115966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43216"/>
        <c:crosses val="autoZero"/>
        <c:crossBetween val="midCat"/>
      </c:valAx>
      <c:valAx>
        <c:axId val="202174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69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92816917191148"/>
          <c:y val="0.12257573169750385"/>
          <c:w val="9.825600524210519E-2"/>
          <c:h val="0.10224602134860515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F7E28A-208A-4930-B677-6924DE4C52E8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38F17-0DB0-FC29-669E-03DE8DD615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0389-4D21-4F82-8593-FB01043A1989}">
  <dimension ref="A1:L166"/>
  <sheetViews>
    <sheetView tabSelected="1" workbookViewId="0">
      <selection activeCell="O5" sqref="O5"/>
    </sheetView>
  </sheetViews>
  <sheetFormatPr defaultRowHeight="15" x14ac:dyDescent="0.25"/>
  <cols>
    <col min="3" max="3" width="9.140625" style="2"/>
    <col min="7" max="7" width="9.140625" style="4"/>
    <col min="10" max="10" width="9.140625" style="4"/>
  </cols>
  <sheetData>
    <row r="1" spans="1:11" x14ac:dyDescent="0.25">
      <c r="J1" s="1" t="s">
        <v>9</v>
      </c>
    </row>
    <row r="2" spans="1:11" x14ac:dyDescent="0.25">
      <c r="A2" t="s">
        <v>0</v>
      </c>
      <c r="B2" t="s">
        <v>1</v>
      </c>
      <c r="C2" s="2" t="s">
        <v>2</v>
      </c>
      <c r="D2" t="s">
        <v>3</v>
      </c>
      <c r="G2" s="1" t="s">
        <v>4</v>
      </c>
      <c r="H2" s="3" t="s">
        <v>5</v>
      </c>
      <c r="J2" s="1" t="s">
        <v>4</v>
      </c>
      <c r="K2" s="3" t="s">
        <v>5</v>
      </c>
    </row>
    <row r="3" spans="1:11" x14ac:dyDescent="0.25">
      <c r="A3">
        <v>4.7910000000000004</v>
      </c>
      <c r="B3">
        <v>11</v>
      </c>
      <c r="C3" s="2">
        <v>4.75</v>
      </c>
      <c r="D3">
        <v>10.066287680303599</v>
      </c>
      <c r="G3">
        <v>4.7910000000000004</v>
      </c>
      <c r="H3">
        <v>11</v>
      </c>
      <c r="J3" s="4">
        <f>(G3+G4)/2</f>
        <v>25.0625</v>
      </c>
      <c r="K3">
        <f>H3</f>
        <v>11</v>
      </c>
    </row>
    <row r="4" spans="1:11" x14ac:dyDescent="0.25">
      <c r="A4">
        <v>5</v>
      </c>
      <c r="B4">
        <v>12.09</v>
      </c>
      <c r="C4" s="2">
        <v>5</v>
      </c>
      <c r="D4">
        <v>12.061790041779201</v>
      </c>
      <c r="G4">
        <v>45.334000000000003</v>
      </c>
      <c r="H4">
        <v>11</v>
      </c>
    </row>
    <row r="5" spans="1:11" x14ac:dyDescent="0.25">
      <c r="A5">
        <v>5.1459999999999999</v>
      </c>
      <c r="B5">
        <v>13</v>
      </c>
      <c r="C5" s="2">
        <v>5.25</v>
      </c>
      <c r="D5">
        <v>14.065246356211</v>
      </c>
      <c r="G5"/>
    </row>
    <row r="6" spans="1:11" x14ac:dyDescent="0.25">
      <c r="A6">
        <v>5.4119999999999999</v>
      </c>
      <c r="B6">
        <v>16</v>
      </c>
      <c r="C6" s="2">
        <v>5.5</v>
      </c>
      <c r="D6">
        <v>16.085000567348999</v>
      </c>
      <c r="G6"/>
    </row>
    <row r="7" spans="1:11" x14ac:dyDescent="0.25">
      <c r="A7">
        <v>5.6710000000000003</v>
      </c>
      <c r="B7">
        <v>17</v>
      </c>
      <c r="C7" s="2">
        <v>5.75</v>
      </c>
      <c r="D7">
        <v>18.131283482665602</v>
      </c>
      <c r="G7"/>
    </row>
    <row r="8" spans="1:11" x14ac:dyDescent="0.25">
      <c r="A8">
        <v>5.7240000000000002</v>
      </c>
      <c r="B8">
        <v>18</v>
      </c>
      <c r="C8" s="2">
        <v>6</v>
      </c>
      <c r="D8">
        <v>20.217054808855</v>
      </c>
      <c r="G8"/>
    </row>
    <row r="9" spans="1:11" x14ac:dyDescent="0.25">
      <c r="A9">
        <v>5.8109999999999999</v>
      </c>
      <c r="B9">
        <v>19</v>
      </c>
      <c r="C9" s="2">
        <v>6.25</v>
      </c>
      <c r="D9">
        <v>22.3480026643795</v>
      </c>
      <c r="G9"/>
    </row>
    <row r="10" spans="1:11" x14ac:dyDescent="0.25">
      <c r="A10">
        <v>5.8179999999999996</v>
      </c>
      <c r="B10">
        <v>18</v>
      </c>
      <c r="C10" s="2">
        <v>6.5</v>
      </c>
      <c r="D10">
        <v>24.512788228385599</v>
      </c>
      <c r="G10">
        <v>5.4119999999999999</v>
      </c>
      <c r="H10">
        <v>16</v>
      </c>
      <c r="J10" s="4">
        <f>(G10+G11)/2</f>
        <v>25.012499999999999</v>
      </c>
      <c r="K10">
        <f>H10</f>
        <v>16</v>
      </c>
    </row>
    <row r="11" spans="1:11" x14ac:dyDescent="0.25">
      <c r="A11">
        <v>5.992</v>
      </c>
      <c r="B11">
        <v>20</v>
      </c>
      <c r="C11" s="2">
        <v>6.75</v>
      </c>
      <c r="D11">
        <v>26.689207688130299</v>
      </c>
      <c r="G11">
        <v>44.613</v>
      </c>
      <c r="H11">
        <v>16</v>
      </c>
      <c r="J11" s="4">
        <f>(G10+G12)/2</f>
        <v>25.070999999999998</v>
      </c>
      <c r="K11">
        <f>H11</f>
        <v>16</v>
      </c>
    </row>
    <row r="12" spans="1:11" x14ac:dyDescent="0.25">
      <c r="A12">
        <v>6</v>
      </c>
      <c r="B12">
        <v>20.239999999999998</v>
      </c>
      <c r="C12" s="2">
        <v>7</v>
      </c>
      <c r="D12">
        <v>28.865668263519801</v>
      </c>
      <c r="G12">
        <v>44.73</v>
      </c>
      <c r="H12">
        <v>16</v>
      </c>
    </row>
    <row r="13" spans="1:11" x14ac:dyDescent="0.25">
      <c r="A13">
        <v>6.0869999999999997</v>
      </c>
      <c r="B13">
        <v>20</v>
      </c>
      <c r="C13" s="2">
        <v>7.25</v>
      </c>
      <c r="D13">
        <v>31.035026647141301</v>
      </c>
      <c r="G13">
        <v>5.6710000000000003</v>
      </c>
      <c r="H13">
        <v>17</v>
      </c>
      <c r="J13" s="4">
        <f>(G13+G14)/2</f>
        <v>25.126999999999999</v>
      </c>
      <c r="K13">
        <f>H13</f>
        <v>17</v>
      </c>
    </row>
    <row r="14" spans="1:11" x14ac:dyDescent="0.25">
      <c r="A14">
        <v>6.1289999999999996</v>
      </c>
      <c r="B14">
        <v>21</v>
      </c>
      <c r="C14" s="2">
        <v>7.5</v>
      </c>
      <c r="D14">
        <v>33.199677382682502</v>
      </c>
      <c r="G14">
        <v>44.582999999999998</v>
      </c>
      <c r="H14">
        <v>17</v>
      </c>
    </row>
    <row r="15" spans="1:11" x14ac:dyDescent="0.25">
      <c r="A15">
        <v>6.1909999999999998</v>
      </c>
      <c r="B15">
        <v>22</v>
      </c>
      <c r="C15" s="2">
        <v>7.75</v>
      </c>
      <c r="D15">
        <v>35.360257803217102</v>
      </c>
      <c r="G15">
        <v>5.7240000000000002</v>
      </c>
      <c r="H15">
        <v>18</v>
      </c>
    </row>
    <row r="16" spans="1:11" x14ac:dyDescent="0.25">
      <c r="A16">
        <v>6.2249999999999996</v>
      </c>
      <c r="B16">
        <v>21</v>
      </c>
      <c r="C16" s="2">
        <v>8</v>
      </c>
      <c r="D16">
        <v>37.508670303888898</v>
      </c>
      <c r="G16">
        <v>5.8179999999999996</v>
      </c>
      <c r="H16">
        <v>18</v>
      </c>
    </row>
    <row r="17" spans="1:11" x14ac:dyDescent="0.25">
      <c r="A17">
        <v>6.3109999999999999</v>
      </c>
      <c r="B17">
        <v>23</v>
      </c>
      <c r="C17" s="2">
        <v>8.25</v>
      </c>
      <c r="D17">
        <v>39.629074592621201</v>
      </c>
      <c r="G17">
        <v>44.445</v>
      </c>
      <c r="H17">
        <v>18</v>
      </c>
    </row>
    <row r="18" spans="1:11" x14ac:dyDescent="0.25">
      <c r="A18">
        <v>6.4</v>
      </c>
      <c r="B18">
        <v>24</v>
      </c>
      <c r="C18" s="2">
        <v>8.5</v>
      </c>
      <c r="D18">
        <v>41.700755696887903</v>
      </c>
      <c r="G18">
        <v>44.523000000000003</v>
      </c>
      <c r="H18">
        <v>18</v>
      </c>
    </row>
    <row r="19" spans="1:11" x14ac:dyDescent="0.25">
      <c r="A19">
        <v>6.45</v>
      </c>
      <c r="B19">
        <v>25</v>
      </c>
      <c r="C19" s="2">
        <v>8.75</v>
      </c>
      <c r="D19">
        <v>43.700193537018201</v>
      </c>
      <c r="G19">
        <v>5.8109999999999999</v>
      </c>
      <c r="H19">
        <v>19</v>
      </c>
      <c r="J19" s="4">
        <f>(G19+G20)/2</f>
        <v>25.075500000000002</v>
      </c>
      <c r="K19">
        <f>H19</f>
        <v>19</v>
      </c>
    </row>
    <row r="20" spans="1:11" x14ac:dyDescent="0.25">
      <c r="A20">
        <v>6.5549999999999997</v>
      </c>
      <c r="B20">
        <v>25</v>
      </c>
      <c r="C20" s="2">
        <v>9</v>
      </c>
      <c r="D20">
        <v>45.600269793373997</v>
      </c>
      <c r="G20">
        <v>44.34</v>
      </c>
      <c r="H20">
        <v>19</v>
      </c>
    </row>
    <row r="21" spans="1:11" x14ac:dyDescent="0.25">
      <c r="A21">
        <v>6.7859999999999996</v>
      </c>
      <c r="B21">
        <v>27</v>
      </c>
      <c r="C21" s="2">
        <v>9.25</v>
      </c>
      <c r="D21">
        <v>47.370512079573501</v>
      </c>
      <c r="G21">
        <v>5.992</v>
      </c>
      <c r="H21">
        <v>20</v>
      </c>
    </row>
    <row r="22" spans="1:11" x14ac:dyDescent="0.25">
      <c r="A22">
        <v>6.8879999999999999</v>
      </c>
      <c r="B22">
        <v>28</v>
      </c>
      <c r="C22" s="2">
        <v>9.5</v>
      </c>
      <c r="D22">
        <v>48.981339180430602</v>
      </c>
      <c r="G22">
        <v>6.0869999999999997</v>
      </c>
      <c r="H22">
        <v>20</v>
      </c>
    </row>
    <row r="23" spans="1:11" x14ac:dyDescent="0.25">
      <c r="A23">
        <v>7</v>
      </c>
      <c r="B23">
        <v>29.728000000000002</v>
      </c>
      <c r="C23" s="2">
        <v>9.75</v>
      </c>
      <c r="D23">
        <v>50.409533290025003</v>
      </c>
      <c r="G23">
        <v>44.232999999999997</v>
      </c>
      <c r="H23">
        <v>20</v>
      </c>
    </row>
    <row r="24" spans="1:11" x14ac:dyDescent="0.25">
      <c r="A24">
        <v>7.258</v>
      </c>
      <c r="B24">
        <v>31</v>
      </c>
      <c r="C24" s="2">
        <v>10</v>
      </c>
      <c r="D24">
        <v>51.645350158146599</v>
      </c>
      <c r="G24"/>
    </row>
    <row r="25" spans="1:11" x14ac:dyDescent="0.25">
      <c r="A25">
        <v>7.4</v>
      </c>
      <c r="B25">
        <v>32</v>
      </c>
      <c r="C25" s="2">
        <v>10.25</v>
      </c>
      <c r="D25">
        <v>52.697556697049599</v>
      </c>
      <c r="G25">
        <v>6.1289999999999996</v>
      </c>
      <c r="H25">
        <v>21</v>
      </c>
    </row>
    <row r="26" spans="1:11" x14ac:dyDescent="0.25">
      <c r="A26">
        <v>7.52</v>
      </c>
      <c r="B26">
        <v>33</v>
      </c>
      <c r="C26" s="2">
        <v>10.5</v>
      </c>
      <c r="D26">
        <v>53.589139166736302</v>
      </c>
      <c r="G26">
        <v>6.2249999999999996</v>
      </c>
      <c r="H26">
        <v>21</v>
      </c>
    </row>
    <row r="27" spans="1:11" x14ac:dyDescent="0.25">
      <c r="A27">
        <v>7.6020000000000003</v>
      </c>
      <c r="B27">
        <v>34</v>
      </c>
      <c r="C27" s="2">
        <v>10.75</v>
      </c>
      <c r="D27">
        <v>54.345026168783697</v>
      </c>
      <c r="G27">
        <v>44.128</v>
      </c>
      <c r="H27">
        <v>21</v>
      </c>
    </row>
    <row r="28" spans="1:11" x14ac:dyDescent="0.25">
      <c r="A28">
        <v>7.7549999999999999</v>
      </c>
      <c r="B28">
        <v>35</v>
      </c>
      <c r="C28" s="2">
        <v>11</v>
      </c>
      <c r="D28">
        <v>54.989503693523602</v>
      </c>
      <c r="G28">
        <v>6.1909999999999998</v>
      </c>
      <c r="H28">
        <v>22</v>
      </c>
    </row>
    <row r="29" spans="1:11" x14ac:dyDescent="0.25">
      <c r="A29">
        <v>7.843</v>
      </c>
      <c r="B29">
        <v>36</v>
      </c>
      <c r="C29" s="2">
        <v>11.25</v>
      </c>
      <c r="D29">
        <v>55.542305458857498</v>
      </c>
      <c r="G29"/>
    </row>
    <row r="30" spans="1:11" x14ac:dyDescent="0.25">
      <c r="A30">
        <v>8.0950000000000006</v>
      </c>
      <c r="B30">
        <v>38</v>
      </c>
      <c r="C30" s="2">
        <v>11.5</v>
      </c>
      <c r="D30">
        <v>56.020055260649997</v>
      </c>
      <c r="G30">
        <v>6.3109999999999999</v>
      </c>
      <c r="H30">
        <v>23</v>
      </c>
      <c r="J30" s="4">
        <f>(G30+G31)/2</f>
        <v>25.132000000000001</v>
      </c>
      <c r="K30">
        <f>H30</f>
        <v>23</v>
      </c>
    </row>
    <row r="31" spans="1:11" x14ac:dyDescent="0.25">
      <c r="A31">
        <v>8.4290000000000003</v>
      </c>
      <c r="B31">
        <v>41</v>
      </c>
      <c r="C31" s="2">
        <v>11.75</v>
      </c>
      <c r="D31">
        <v>56.433542700984503</v>
      </c>
      <c r="G31">
        <v>43.953000000000003</v>
      </c>
      <c r="H31">
        <v>23</v>
      </c>
    </row>
    <row r="32" spans="1:11" x14ac:dyDescent="0.25">
      <c r="A32">
        <v>8.5510000000000002</v>
      </c>
      <c r="B32">
        <v>42</v>
      </c>
      <c r="C32" s="2">
        <v>12</v>
      </c>
      <c r="D32">
        <v>56.791933987427697</v>
      </c>
      <c r="G32">
        <v>6.4</v>
      </c>
      <c r="H32">
        <v>24</v>
      </c>
    </row>
    <row r="33" spans="1:8" x14ac:dyDescent="0.25">
      <c r="A33">
        <v>8.6980000000000004</v>
      </c>
      <c r="B33">
        <v>43</v>
      </c>
      <c r="C33" s="2">
        <v>12.25</v>
      </c>
      <c r="D33">
        <v>57.104395259418403</v>
      </c>
      <c r="G33">
        <v>43.777999999999999</v>
      </c>
      <c r="H33">
        <v>24</v>
      </c>
    </row>
    <row r="34" spans="1:8" x14ac:dyDescent="0.25">
      <c r="A34">
        <v>9</v>
      </c>
      <c r="B34">
        <v>45.646999999999998</v>
      </c>
      <c r="C34" s="2">
        <v>12.5</v>
      </c>
      <c r="D34">
        <v>57.380092656395398</v>
      </c>
      <c r="G34">
        <v>43.832999999999998</v>
      </c>
      <c r="H34">
        <v>24</v>
      </c>
    </row>
    <row r="35" spans="1:8" x14ac:dyDescent="0.25">
      <c r="A35">
        <v>9.173</v>
      </c>
      <c r="B35">
        <v>47</v>
      </c>
      <c r="C35" s="2">
        <v>12.75</v>
      </c>
      <c r="D35">
        <v>57.628192317797399</v>
      </c>
      <c r="G35">
        <v>6.45</v>
      </c>
      <c r="H35">
        <v>25</v>
      </c>
    </row>
    <row r="36" spans="1:8" x14ac:dyDescent="0.25">
      <c r="A36">
        <v>9.2270000000000003</v>
      </c>
      <c r="B36">
        <v>47</v>
      </c>
      <c r="C36" s="2">
        <v>13</v>
      </c>
      <c r="D36">
        <v>57.857860383063297</v>
      </c>
      <c r="G36">
        <v>6.5549999999999997</v>
      </c>
      <c r="H36">
        <v>25</v>
      </c>
    </row>
    <row r="37" spans="1:8" x14ac:dyDescent="0.25">
      <c r="A37">
        <v>9.2880000000000003</v>
      </c>
      <c r="B37">
        <v>48</v>
      </c>
      <c r="C37" s="2">
        <v>13.25</v>
      </c>
      <c r="D37">
        <v>58.077372730217498</v>
      </c>
      <c r="G37">
        <v>43.654000000000003</v>
      </c>
      <c r="H37">
        <v>25</v>
      </c>
    </row>
    <row r="38" spans="1:8" x14ac:dyDescent="0.25">
      <c r="A38">
        <v>9.3729999999999993</v>
      </c>
      <c r="B38">
        <v>48</v>
      </c>
      <c r="C38" s="2">
        <v>13.5</v>
      </c>
      <c r="D38">
        <v>58.291404273348</v>
      </c>
      <c r="G38"/>
    </row>
    <row r="39" spans="1:8" x14ac:dyDescent="0.25">
      <c r="A39">
        <v>9.4019999999999992</v>
      </c>
      <c r="B39">
        <v>49</v>
      </c>
      <c r="C39" s="2">
        <v>13.75</v>
      </c>
      <c r="D39">
        <v>58.502387155716498</v>
      </c>
      <c r="G39"/>
    </row>
    <row r="40" spans="1:8" x14ac:dyDescent="0.25">
      <c r="A40">
        <v>9.52</v>
      </c>
      <c r="B40">
        <v>49</v>
      </c>
      <c r="C40" s="2">
        <v>14</v>
      </c>
      <c r="D40">
        <v>58.711103887219302</v>
      </c>
      <c r="G40"/>
    </row>
    <row r="41" spans="1:8" x14ac:dyDescent="0.25">
      <c r="A41">
        <v>9.5579999999999998</v>
      </c>
      <c r="B41">
        <v>50</v>
      </c>
      <c r="C41" s="2">
        <v>14.25</v>
      </c>
      <c r="D41">
        <v>58.917984024336498</v>
      </c>
      <c r="G41"/>
    </row>
    <row r="42" spans="1:8" x14ac:dyDescent="0.25">
      <c r="A42">
        <v>9.6660000000000004</v>
      </c>
      <c r="B42">
        <v>50</v>
      </c>
      <c r="C42" s="2">
        <v>14.5</v>
      </c>
      <c r="D42">
        <v>59.122449863932403</v>
      </c>
      <c r="G42"/>
    </row>
    <row r="43" spans="1:8" x14ac:dyDescent="0.25">
      <c r="A43">
        <v>9.7309999999999999</v>
      </c>
      <c r="B43">
        <v>51</v>
      </c>
      <c r="C43" s="2">
        <v>14.75</v>
      </c>
      <c r="D43">
        <v>59.323726866496699</v>
      </c>
      <c r="G43"/>
    </row>
    <row r="44" spans="1:8" x14ac:dyDescent="0.25">
      <c r="A44">
        <v>9.8119999999999994</v>
      </c>
      <c r="B44">
        <v>51</v>
      </c>
      <c r="C44" s="2">
        <v>15</v>
      </c>
      <c r="D44">
        <v>59.521080137317803</v>
      </c>
      <c r="G44"/>
    </row>
    <row r="45" spans="1:8" x14ac:dyDescent="0.25">
      <c r="A45">
        <v>9.9220000000000006</v>
      </c>
      <c r="B45">
        <v>52</v>
      </c>
      <c r="C45" s="2">
        <v>15.25</v>
      </c>
      <c r="D45">
        <v>59.7137756185912</v>
      </c>
      <c r="G45"/>
    </row>
    <row r="46" spans="1:8" x14ac:dyDescent="0.25">
      <c r="A46">
        <v>10</v>
      </c>
      <c r="B46">
        <v>52.110999999999997</v>
      </c>
      <c r="C46" s="2">
        <v>15.5</v>
      </c>
      <c r="D46">
        <v>59.901079252512197</v>
      </c>
      <c r="G46"/>
    </row>
    <row r="47" spans="1:8" x14ac:dyDescent="0.25">
      <c r="A47">
        <v>10.327</v>
      </c>
      <c r="B47">
        <v>53</v>
      </c>
      <c r="C47" s="2">
        <v>15.75</v>
      </c>
      <c r="D47">
        <v>60.082256981276203</v>
      </c>
      <c r="G47"/>
    </row>
    <row r="48" spans="1:8" x14ac:dyDescent="0.25">
      <c r="A48">
        <v>10.789</v>
      </c>
      <c r="B48">
        <v>54</v>
      </c>
      <c r="C48" s="2">
        <v>16</v>
      </c>
      <c r="D48">
        <v>60.256574747078503</v>
      </c>
      <c r="G48"/>
    </row>
    <row r="49" spans="1:8" x14ac:dyDescent="0.25">
      <c r="A49">
        <v>11.259</v>
      </c>
      <c r="B49">
        <v>55</v>
      </c>
      <c r="C49" s="2">
        <v>16.25</v>
      </c>
      <c r="D49">
        <v>60.423515745377301</v>
      </c>
      <c r="G49"/>
    </row>
    <row r="50" spans="1:8" x14ac:dyDescent="0.25">
      <c r="A50">
        <v>13</v>
      </c>
      <c r="B50">
        <v>57.515999999999998</v>
      </c>
      <c r="C50" s="2">
        <v>16.5</v>
      </c>
      <c r="D50">
        <v>60.583432184682103</v>
      </c>
      <c r="G50"/>
    </row>
    <row r="51" spans="1:8" x14ac:dyDescent="0.25">
      <c r="A51">
        <v>13.394</v>
      </c>
      <c r="B51">
        <v>58</v>
      </c>
      <c r="C51" s="2">
        <v>16.75</v>
      </c>
      <c r="D51">
        <v>60.736893526765101</v>
      </c>
      <c r="G51"/>
    </row>
    <row r="52" spans="1:8" x14ac:dyDescent="0.25">
      <c r="A52">
        <v>14</v>
      </c>
      <c r="B52">
        <v>58.613999999999997</v>
      </c>
      <c r="C52" s="2">
        <v>17</v>
      </c>
      <c r="D52">
        <v>60.884469233398498</v>
      </c>
      <c r="G52"/>
    </row>
    <row r="53" spans="1:8" x14ac:dyDescent="0.25">
      <c r="A53">
        <v>14.342000000000001</v>
      </c>
      <c r="B53">
        <v>59</v>
      </c>
      <c r="C53" s="2">
        <v>17.25</v>
      </c>
      <c r="D53">
        <v>61.026613016049303</v>
      </c>
      <c r="G53"/>
    </row>
    <row r="54" spans="1:8" x14ac:dyDescent="0.25">
      <c r="A54">
        <v>16</v>
      </c>
      <c r="B54">
        <v>60.34</v>
      </c>
      <c r="C54" s="2">
        <v>17.5</v>
      </c>
      <c r="D54">
        <v>61.163405639957702</v>
      </c>
      <c r="G54"/>
    </row>
    <row r="55" spans="1:8" x14ac:dyDescent="0.25">
      <c r="A55">
        <v>17</v>
      </c>
      <c r="B55">
        <v>60.839500000000001</v>
      </c>
      <c r="C55" s="2">
        <v>17.75</v>
      </c>
      <c r="D55">
        <v>61.294967467482799</v>
      </c>
      <c r="G55"/>
    </row>
    <row r="56" spans="1:8" x14ac:dyDescent="0.25">
      <c r="A56">
        <v>17.172000000000001</v>
      </c>
      <c r="B56">
        <v>61</v>
      </c>
      <c r="C56" s="2">
        <v>18</v>
      </c>
      <c r="D56">
        <v>61.4214334123849</v>
      </c>
      <c r="G56"/>
    </row>
    <row r="57" spans="1:8" x14ac:dyDescent="0.25">
      <c r="A57">
        <v>18</v>
      </c>
      <c r="B57">
        <v>61.417999999999999</v>
      </c>
      <c r="C57" s="2">
        <v>18.25</v>
      </c>
      <c r="D57">
        <v>61.542929447246401</v>
      </c>
      <c r="G57"/>
    </row>
    <row r="58" spans="1:8" x14ac:dyDescent="0.25">
      <c r="A58">
        <v>19</v>
      </c>
      <c r="B58">
        <v>61.872</v>
      </c>
      <c r="C58" s="2">
        <v>18.5</v>
      </c>
      <c r="D58">
        <v>61.659545779937297</v>
      </c>
      <c r="G58">
        <v>9.173</v>
      </c>
      <c r="H58">
        <v>47</v>
      </c>
    </row>
    <row r="59" spans="1:8" x14ac:dyDescent="0.25">
      <c r="A59">
        <v>19.274000000000001</v>
      </c>
      <c r="B59">
        <v>62</v>
      </c>
      <c r="C59" s="2">
        <v>18.75</v>
      </c>
      <c r="D59">
        <v>61.771363677149402</v>
      </c>
      <c r="G59">
        <v>9.2270000000000003</v>
      </c>
      <c r="H59">
        <v>47</v>
      </c>
    </row>
    <row r="60" spans="1:8" x14ac:dyDescent="0.25">
      <c r="A60">
        <v>20</v>
      </c>
      <c r="B60">
        <v>62.253</v>
      </c>
      <c r="C60" s="2">
        <v>19</v>
      </c>
      <c r="D60">
        <v>61.878464405574697</v>
      </c>
      <c r="G60">
        <v>40.704000000000001</v>
      </c>
      <c r="H60">
        <v>47</v>
      </c>
    </row>
    <row r="61" spans="1:8" x14ac:dyDescent="0.25">
      <c r="A61">
        <v>24</v>
      </c>
      <c r="B61">
        <v>63.116</v>
      </c>
      <c r="C61" s="2">
        <v>19.25</v>
      </c>
      <c r="D61">
        <v>61.980912397515397</v>
      </c>
      <c r="G61">
        <v>40.813000000000002</v>
      </c>
      <c r="H61">
        <v>47</v>
      </c>
    </row>
    <row r="62" spans="1:8" x14ac:dyDescent="0.25">
      <c r="A62">
        <v>25</v>
      </c>
      <c r="B62">
        <v>63.136000000000003</v>
      </c>
      <c r="C62" s="2">
        <v>19.5</v>
      </c>
      <c r="D62">
        <v>62.078723019036701</v>
      </c>
      <c r="G62">
        <v>9.2880000000000003</v>
      </c>
      <c r="H62">
        <v>48</v>
      </c>
    </row>
    <row r="63" spans="1:8" x14ac:dyDescent="0.25">
      <c r="A63">
        <v>26</v>
      </c>
      <c r="B63">
        <v>63.12</v>
      </c>
      <c r="C63" s="2">
        <v>19.75</v>
      </c>
      <c r="D63">
        <v>62.1719924290935</v>
      </c>
      <c r="G63">
        <v>9.3729999999999993</v>
      </c>
      <c r="H63">
        <v>48</v>
      </c>
    </row>
    <row r="64" spans="1:8" x14ac:dyDescent="0.25">
      <c r="A64">
        <v>29</v>
      </c>
      <c r="B64">
        <v>62.747999999999998</v>
      </c>
      <c r="C64" s="2">
        <v>20</v>
      </c>
      <c r="D64">
        <v>62.2608492600083</v>
      </c>
      <c r="G64">
        <v>40.529000000000003</v>
      </c>
      <c r="H64">
        <v>48</v>
      </c>
    </row>
    <row r="65" spans="1:11" x14ac:dyDescent="0.25">
      <c r="A65">
        <v>30</v>
      </c>
      <c r="B65">
        <v>62.36</v>
      </c>
      <c r="C65" s="2">
        <v>20.25</v>
      </c>
      <c r="D65">
        <v>62.345401725203203</v>
      </c>
      <c r="G65">
        <v>40.656999999999996</v>
      </c>
      <c r="H65">
        <v>48</v>
      </c>
    </row>
    <row r="66" spans="1:11" x14ac:dyDescent="0.25">
      <c r="A66">
        <v>32</v>
      </c>
      <c r="B66">
        <v>61.533999999999999</v>
      </c>
      <c r="C66" s="2">
        <v>20.5</v>
      </c>
      <c r="D66">
        <v>62.425676274975999</v>
      </c>
      <c r="G66">
        <v>9.4019999999999992</v>
      </c>
      <c r="H66">
        <v>49</v>
      </c>
    </row>
    <row r="67" spans="1:11" x14ac:dyDescent="0.25">
      <c r="A67">
        <v>34</v>
      </c>
      <c r="B67">
        <v>60.289000000000001</v>
      </c>
      <c r="C67" s="2">
        <v>20.75</v>
      </c>
      <c r="D67">
        <v>62.5016789188426</v>
      </c>
      <c r="G67">
        <v>9.52</v>
      </c>
      <c r="H67">
        <v>49</v>
      </c>
    </row>
    <row r="68" spans="1:11" x14ac:dyDescent="0.25">
      <c r="A68">
        <v>34.399000000000001</v>
      </c>
      <c r="B68">
        <v>60</v>
      </c>
      <c r="C68" s="2">
        <v>21</v>
      </c>
      <c r="D68">
        <v>62.5734156663191</v>
      </c>
      <c r="G68">
        <v>40.44</v>
      </c>
      <c r="H68">
        <v>49</v>
      </c>
    </row>
    <row r="69" spans="1:11" x14ac:dyDescent="0.25">
      <c r="A69">
        <v>35</v>
      </c>
      <c r="B69">
        <v>59.475999999999999</v>
      </c>
      <c r="C69" s="2">
        <v>21.25</v>
      </c>
      <c r="D69">
        <v>62.640892526921697</v>
      </c>
      <c r="G69">
        <v>40.500999999999998</v>
      </c>
      <c r="H69">
        <v>49</v>
      </c>
    </row>
    <row r="70" spans="1:11" x14ac:dyDescent="0.25">
      <c r="A70">
        <v>35.658999999999999</v>
      </c>
      <c r="B70">
        <v>59</v>
      </c>
      <c r="C70" s="2">
        <v>21.5</v>
      </c>
      <c r="D70">
        <v>62.704115510166602</v>
      </c>
      <c r="G70">
        <v>9.5579999999999998</v>
      </c>
      <c r="H70">
        <v>50</v>
      </c>
    </row>
    <row r="71" spans="1:11" x14ac:dyDescent="0.25">
      <c r="A71">
        <v>36</v>
      </c>
      <c r="B71">
        <v>58.595500000000001</v>
      </c>
      <c r="C71" s="2">
        <v>21.75</v>
      </c>
      <c r="D71">
        <v>62.763090625569902</v>
      </c>
      <c r="G71">
        <v>9.6660000000000004</v>
      </c>
      <c r="H71">
        <v>50</v>
      </c>
    </row>
    <row r="72" spans="1:11" x14ac:dyDescent="0.25">
      <c r="A72">
        <v>36.494999999999997</v>
      </c>
      <c r="B72">
        <v>58</v>
      </c>
      <c r="C72" s="2">
        <v>22</v>
      </c>
      <c r="D72">
        <v>62.817823882647701</v>
      </c>
      <c r="G72">
        <v>40.265000000000001</v>
      </c>
      <c r="H72">
        <v>50</v>
      </c>
    </row>
    <row r="73" spans="1:11" x14ac:dyDescent="0.25">
      <c r="A73">
        <v>38.636000000000003</v>
      </c>
      <c r="B73">
        <v>55</v>
      </c>
      <c r="C73" s="2">
        <v>22.25</v>
      </c>
      <c r="D73">
        <v>62.8683212909161</v>
      </c>
      <c r="G73">
        <v>40.345999999999997</v>
      </c>
      <c r="H73">
        <v>50</v>
      </c>
    </row>
    <row r="74" spans="1:11" x14ac:dyDescent="0.25">
      <c r="A74">
        <v>39</v>
      </c>
      <c r="B74">
        <v>54.290999999999997</v>
      </c>
      <c r="C74" s="2">
        <v>22.5</v>
      </c>
      <c r="D74">
        <v>62.914588859891303</v>
      </c>
      <c r="G74">
        <v>9.7309999999999999</v>
      </c>
      <c r="H74">
        <v>51</v>
      </c>
    </row>
    <row r="75" spans="1:11" x14ac:dyDescent="0.25">
      <c r="A75">
        <v>39.146000000000001</v>
      </c>
      <c r="B75">
        <v>54</v>
      </c>
      <c r="C75" s="2">
        <v>22.75</v>
      </c>
      <c r="D75">
        <v>62.956632599089303</v>
      </c>
      <c r="G75">
        <v>9.8119999999999994</v>
      </c>
      <c r="H75">
        <v>51</v>
      </c>
    </row>
    <row r="76" spans="1:11" x14ac:dyDescent="0.25">
      <c r="A76">
        <v>39.534999999999997</v>
      </c>
      <c r="B76">
        <v>53</v>
      </c>
      <c r="C76" s="2">
        <v>23</v>
      </c>
      <c r="D76">
        <v>62.994458518026399</v>
      </c>
      <c r="G76">
        <v>40.103000000000002</v>
      </c>
      <c r="H76">
        <v>51</v>
      </c>
    </row>
    <row r="77" spans="1:11" x14ac:dyDescent="0.25">
      <c r="A77">
        <v>39.924999999999997</v>
      </c>
      <c r="B77">
        <v>52</v>
      </c>
      <c r="C77" s="2">
        <v>23.25</v>
      </c>
      <c r="D77">
        <v>63.028072626218702</v>
      </c>
      <c r="G77"/>
    </row>
    <row r="78" spans="1:11" x14ac:dyDescent="0.25">
      <c r="A78">
        <v>40</v>
      </c>
      <c r="B78">
        <v>51.940333333333299</v>
      </c>
      <c r="C78" s="2">
        <v>23.5</v>
      </c>
      <c r="D78">
        <v>63.057480933182198</v>
      </c>
      <c r="G78">
        <v>9.9220000000000006</v>
      </c>
      <c r="H78">
        <v>52</v>
      </c>
      <c r="J78" s="4">
        <f>(G78+G79)/2</f>
        <v>24.923499999999997</v>
      </c>
      <c r="K78">
        <f>H78</f>
        <v>52</v>
      </c>
    </row>
    <row r="79" spans="1:11" x14ac:dyDescent="0.25">
      <c r="A79">
        <v>40.103000000000002</v>
      </c>
      <c r="B79">
        <v>51</v>
      </c>
      <c r="C79" s="2">
        <v>23.75</v>
      </c>
      <c r="D79">
        <v>63.0826894484332</v>
      </c>
      <c r="G79">
        <v>39.924999999999997</v>
      </c>
      <c r="H79">
        <v>52</v>
      </c>
    </row>
    <row r="80" spans="1:11" x14ac:dyDescent="0.25">
      <c r="A80">
        <v>40.265000000000001</v>
      </c>
      <c r="B80">
        <v>50</v>
      </c>
      <c r="C80" s="2">
        <v>24</v>
      </c>
      <c r="D80">
        <v>63.1037041814877</v>
      </c>
      <c r="G80"/>
    </row>
    <row r="81" spans="1:11" x14ac:dyDescent="0.25">
      <c r="A81">
        <v>40.345999999999997</v>
      </c>
      <c r="B81">
        <v>50</v>
      </c>
      <c r="C81" s="2">
        <v>24.25</v>
      </c>
      <c r="D81">
        <v>63.120563162222602</v>
      </c>
      <c r="G81">
        <v>10.327</v>
      </c>
      <c r="H81">
        <v>53</v>
      </c>
      <c r="J81" s="4">
        <f>(G81+G82)/2</f>
        <v>24.930999999999997</v>
      </c>
      <c r="K81">
        <f>H81</f>
        <v>53</v>
      </c>
    </row>
    <row r="82" spans="1:11" x14ac:dyDescent="0.25">
      <c r="A82">
        <v>40.44</v>
      </c>
      <c r="B82">
        <v>49</v>
      </c>
      <c r="C82" s="2">
        <v>24.5</v>
      </c>
      <c r="D82">
        <v>63.133432501957699</v>
      </c>
      <c r="G82">
        <v>39.534999999999997</v>
      </c>
      <c r="H82">
        <v>53</v>
      </c>
    </row>
    <row r="83" spans="1:11" x14ac:dyDescent="0.25">
      <c r="A83">
        <v>40.500999999999998</v>
      </c>
      <c r="B83">
        <v>49</v>
      </c>
      <c r="C83" s="2">
        <v>24.75</v>
      </c>
      <c r="D83">
        <v>63.142510332373099</v>
      </c>
      <c r="G83">
        <v>10.789</v>
      </c>
      <c r="H83">
        <v>54</v>
      </c>
      <c r="J83" s="4">
        <f>(G83+G84)/2</f>
        <v>24.967500000000001</v>
      </c>
      <c r="K83">
        <f>H83</f>
        <v>54</v>
      </c>
    </row>
    <row r="84" spans="1:11" x14ac:dyDescent="0.25">
      <c r="A84">
        <v>40.529000000000003</v>
      </c>
      <c r="B84">
        <v>48</v>
      </c>
      <c r="C84" s="2">
        <v>25</v>
      </c>
      <c r="D84">
        <v>63.1479947851494</v>
      </c>
      <c r="G84">
        <v>39.146000000000001</v>
      </c>
      <c r="H84">
        <v>54</v>
      </c>
    </row>
    <row r="85" spans="1:11" x14ac:dyDescent="0.25">
      <c r="A85">
        <v>40.656999999999996</v>
      </c>
      <c r="B85">
        <v>48</v>
      </c>
      <c r="C85" s="2">
        <v>25.25</v>
      </c>
      <c r="D85">
        <v>63.1500527555473</v>
      </c>
      <c r="G85"/>
    </row>
    <row r="86" spans="1:11" x14ac:dyDescent="0.25">
      <c r="A86">
        <v>40.704000000000001</v>
      </c>
      <c r="B86">
        <v>47</v>
      </c>
      <c r="C86" s="2">
        <v>25.5</v>
      </c>
      <c r="D86">
        <v>63.148726193148804</v>
      </c>
      <c r="G86">
        <v>11.259</v>
      </c>
      <c r="H86">
        <v>55</v>
      </c>
      <c r="J86" s="4">
        <f>(G86+G87)/2</f>
        <v>24.947500000000002</v>
      </c>
      <c r="K86">
        <f>H86</f>
        <v>55</v>
      </c>
    </row>
    <row r="87" spans="1:11" x14ac:dyDescent="0.25">
      <c r="A87">
        <v>40.808</v>
      </c>
      <c r="B87">
        <v>46</v>
      </c>
      <c r="C87" s="2">
        <v>25.75</v>
      </c>
      <c r="D87">
        <v>63.1440258111164</v>
      </c>
      <c r="G87">
        <v>38.636000000000003</v>
      </c>
      <c r="H87">
        <v>55</v>
      </c>
    </row>
    <row r="88" spans="1:11" x14ac:dyDescent="0.25">
      <c r="A88">
        <v>40.813000000000002</v>
      </c>
      <c r="B88">
        <v>47</v>
      </c>
      <c r="C88" s="2">
        <v>26</v>
      </c>
      <c r="D88">
        <v>63.1359623226125</v>
      </c>
      <c r="G88"/>
    </row>
    <row r="89" spans="1:11" x14ac:dyDescent="0.25">
      <c r="A89">
        <v>40.962000000000003</v>
      </c>
      <c r="B89">
        <v>45</v>
      </c>
      <c r="C89" s="2">
        <v>26.25</v>
      </c>
      <c r="D89">
        <v>63.124504872251102</v>
      </c>
      <c r="G89">
        <v>13.394</v>
      </c>
      <c r="H89">
        <v>58</v>
      </c>
      <c r="J89" s="4">
        <f>(G89+G90)/2</f>
        <v>24.944499999999998</v>
      </c>
      <c r="K89">
        <f>H89</f>
        <v>58</v>
      </c>
    </row>
    <row r="90" spans="1:11" x14ac:dyDescent="0.25">
      <c r="A90">
        <v>40.969000000000001</v>
      </c>
      <c r="B90">
        <v>46</v>
      </c>
      <c r="C90" s="2">
        <v>26.5</v>
      </c>
      <c r="D90">
        <v>63.109456330452197</v>
      </c>
      <c r="G90">
        <v>36.494999999999997</v>
      </c>
      <c r="H90">
        <v>58</v>
      </c>
    </row>
    <row r="91" spans="1:11" x14ac:dyDescent="0.25">
      <c r="A91">
        <v>41</v>
      </c>
      <c r="B91">
        <v>45.120750000000001</v>
      </c>
      <c r="C91" s="2">
        <v>26.75</v>
      </c>
      <c r="D91">
        <v>63.090577999087401</v>
      </c>
      <c r="G91"/>
    </row>
    <row r="92" spans="1:11" x14ac:dyDescent="0.25">
      <c r="A92">
        <v>41.639000000000003</v>
      </c>
      <c r="B92">
        <v>40</v>
      </c>
      <c r="C92" s="2">
        <v>27</v>
      </c>
      <c r="D92">
        <v>63.0676311800284</v>
      </c>
      <c r="G92"/>
    </row>
    <row r="93" spans="1:11" x14ac:dyDescent="0.25">
      <c r="A93">
        <v>43.537999999999997</v>
      </c>
      <c r="B93">
        <v>26</v>
      </c>
      <c r="C93" s="2">
        <v>27.25</v>
      </c>
      <c r="D93">
        <v>63.040377175146702</v>
      </c>
      <c r="G93">
        <v>14.342000000000001</v>
      </c>
      <c r="H93">
        <v>59</v>
      </c>
      <c r="J93" s="4">
        <f>(G93+G94)/2</f>
        <v>25.000499999999999</v>
      </c>
      <c r="K93">
        <f>H93</f>
        <v>59</v>
      </c>
    </row>
    <row r="94" spans="1:11" x14ac:dyDescent="0.25">
      <c r="A94">
        <v>43.654000000000003</v>
      </c>
      <c r="B94">
        <v>25</v>
      </c>
      <c r="C94" s="2">
        <v>27.5</v>
      </c>
      <c r="D94">
        <v>63.008577286314001</v>
      </c>
      <c r="G94">
        <v>35.658999999999999</v>
      </c>
      <c r="H94">
        <v>59</v>
      </c>
    </row>
    <row r="95" spans="1:11" x14ac:dyDescent="0.25">
      <c r="A95">
        <v>43.777999999999999</v>
      </c>
      <c r="B95">
        <v>24</v>
      </c>
      <c r="C95" s="2">
        <v>27.75</v>
      </c>
      <c r="D95">
        <v>62.971992815401698</v>
      </c>
      <c r="G95"/>
    </row>
    <row r="96" spans="1:11" x14ac:dyDescent="0.25">
      <c r="A96">
        <v>43.832999999999998</v>
      </c>
      <c r="B96">
        <v>24</v>
      </c>
      <c r="C96" s="2">
        <v>28</v>
      </c>
      <c r="D96">
        <v>62.930385064281701</v>
      </c>
      <c r="G96"/>
    </row>
    <row r="97" spans="1:12" x14ac:dyDescent="0.25">
      <c r="A97">
        <v>43.953000000000003</v>
      </c>
      <c r="B97">
        <v>23</v>
      </c>
      <c r="C97" s="2">
        <v>28.25</v>
      </c>
      <c r="D97">
        <v>62.883515334825397</v>
      </c>
      <c r="G97"/>
    </row>
    <row r="98" spans="1:12" x14ac:dyDescent="0.25">
      <c r="A98">
        <v>44</v>
      </c>
      <c r="B98">
        <v>22.389250000000001</v>
      </c>
      <c r="C98" s="2">
        <v>28.5</v>
      </c>
      <c r="D98">
        <v>62.8311449289045</v>
      </c>
      <c r="G98"/>
      <c r="I98" s="5" t="s">
        <v>6</v>
      </c>
      <c r="J98" s="4">
        <f>AVERAGE(J3:J93)</f>
        <v>25.016249999999996</v>
      </c>
    </row>
    <row r="99" spans="1:12" x14ac:dyDescent="0.25">
      <c r="A99">
        <v>44.128</v>
      </c>
      <c r="B99">
        <v>21</v>
      </c>
      <c r="C99" s="2">
        <v>28.75</v>
      </c>
      <c r="D99">
        <v>62.773035148390598</v>
      </c>
      <c r="G99"/>
      <c r="I99" s="5" t="s">
        <v>7</v>
      </c>
      <c r="J99" s="4">
        <f>STDEV(J3:J93)</f>
        <v>7.5494882427402779E-2</v>
      </c>
      <c r="K99" s="2">
        <f>J99*5</f>
        <v>0.37747441213701388</v>
      </c>
      <c r="L99" s="6" t="s">
        <v>8</v>
      </c>
    </row>
    <row r="100" spans="1:12" x14ac:dyDescent="0.25">
      <c r="A100">
        <v>44.232999999999997</v>
      </c>
      <c r="B100">
        <v>20</v>
      </c>
      <c r="C100" s="2">
        <v>29</v>
      </c>
      <c r="D100">
        <v>62.708947295155198</v>
      </c>
      <c r="G100"/>
    </row>
    <row r="101" spans="1:12" x14ac:dyDescent="0.25">
      <c r="A101">
        <v>44.34</v>
      </c>
      <c r="B101">
        <v>19</v>
      </c>
      <c r="C101" s="2">
        <v>29.25</v>
      </c>
      <c r="D101">
        <v>62.638744370822202</v>
      </c>
      <c r="G101"/>
    </row>
    <row r="102" spans="1:12" x14ac:dyDescent="0.25">
      <c r="A102">
        <v>44.445</v>
      </c>
      <c r="B102">
        <v>18</v>
      </c>
      <c r="C102" s="2">
        <v>29.5</v>
      </c>
      <c r="D102">
        <v>62.562696176024197</v>
      </c>
      <c r="G102"/>
    </row>
    <row r="103" spans="1:12" x14ac:dyDescent="0.25">
      <c r="A103">
        <v>44.523000000000003</v>
      </c>
      <c r="B103">
        <v>18</v>
      </c>
      <c r="C103" s="2">
        <v>29.75</v>
      </c>
      <c r="D103">
        <v>62.481174211145898</v>
      </c>
      <c r="G103"/>
    </row>
    <row r="104" spans="1:12" x14ac:dyDescent="0.25">
      <c r="A104">
        <v>44.582999999999998</v>
      </c>
      <c r="B104">
        <v>17</v>
      </c>
      <c r="C104" s="2">
        <v>30</v>
      </c>
      <c r="D104">
        <v>62.3945499765723</v>
      </c>
      <c r="G104"/>
    </row>
    <row r="105" spans="1:12" x14ac:dyDescent="0.25">
      <c r="A105">
        <v>44.613</v>
      </c>
      <c r="B105">
        <v>16</v>
      </c>
      <c r="C105" s="2">
        <v>30.25</v>
      </c>
      <c r="D105">
        <v>62.303104998790701</v>
      </c>
      <c r="G105"/>
    </row>
    <row r="106" spans="1:12" x14ac:dyDescent="0.25">
      <c r="A106">
        <v>44.73</v>
      </c>
      <c r="B106">
        <v>16</v>
      </c>
      <c r="C106" s="2">
        <v>30.5</v>
      </c>
      <c r="D106">
        <v>62.206760908699302</v>
      </c>
      <c r="G106"/>
    </row>
    <row r="107" spans="1:12" x14ac:dyDescent="0.25">
      <c r="A107">
        <v>44.787999999999997</v>
      </c>
      <c r="B107">
        <v>15</v>
      </c>
      <c r="C107" s="2">
        <v>30.75</v>
      </c>
      <c r="D107">
        <v>62.105349363299098</v>
      </c>
      <c r="G107"/>
    </row>
    <row r="108" spans="1:12" x14ac:dyDescent="0.25">
      <c r="A108">
        <v>44.838999999999999</v>
      </c>
      <c r="B108">
        <v>15</v>
      </c>
      <c r="C108" s="2">
        <v>31</v>
      </c>
      <c r="D108">
        <v>61.998702019590802</v>
      </c>
      <c r="G108"/>
    </row>
    <row r="109" spans="1:12" x14ac:dyDescent="0.25">
      <c r="A109">
        <v>45.183</v>
      </c>
      <c r="B109">
        <v>12</v>
      </c>
      <c r="C109" s="2">
        <v>31.25</v>
      </c>
      <c r="D109">
        <v>61.886650534575303</v>
      </c>
      <c r="G109"/>
    </row>
    <row r="110" spans="1:12" x14ac:dyDescent="0.25">
      <c r="A110">
        <v>45.334000000000003</v>
      </c>
      <c r="B110">
        <v>11</v>
      </c>
      <c r="C110" s="2">
        <v>31.5</v>
      </c>
      <c r="D110">
        <v>61.769026565253597</v>
      </c>
      <c r="G110"/>
    </row>
    <row r="111" spans="1:12" x14ac:dyDescent="0.25">
      <c r="C111" s="2">
        <v>31.75</v>
      </c>
      <c r="D111">
        <v>61.645661768626297</v>
      </c>
    </row>
    <row r="112" spans="1:12" x14ac:dyDescent="0.25">
      <c r="C112" s="2">
        <v>32</v>
      </c>
      <c r="D112">
        <v>61.516387801694499</v>
      </c>
    </row>
    <row r="113" spans="3:4" x14ac:dyDescent="0.25">
      <c r="C113" s="2">
        <v>32.25</v>
      </c>
      <c r="D113">
        <v>61.3810821865587</v>
      </c>
    </row>
    <row r="114" spans="3:4" x14ac:dyDescent="0.25">
      <c r="C114" s="2">
        <v>32.5</v>
      </c>
      <c r="D114">
        <v>61.239805905718598</v>
      </c>
    </row>
    <row r="115" spans="3:4" x14ac:dyDescent="0.25">
      <c r="C115" s="2">
        <v>32.75</v>
      </c>
      <c r="D115">
        <v>61.092665806773397</v>
      </c>
    </row>
    <row r="116" spans="3:4" x14ac:dyDescent="0.25">
      <c r="C116" s="2">
        <v>33</v>
      </c>
      <c r="D116">
        <v>60.939768737322701</v>
      </c>
    </row>
    <row r="117" spans="3:4" x14ac:dyDescent="0.25">
      <c r="C117" s="2">
        <v>33.25</v>
      </c>
      <c r="D117">
        <v>60.781221544965803</v>
      </c>
    </row>
    <row r="118" spans="3:4" x14ac:dyDescent="0.25">
      <c r="C118" s="2">
        <v>33.5</v>
      </c>
      <c r="D118">
        <v>60.617131077302098</v>
      </c>
    </row>
    <row r="119" spans="3:4" x14ac:dyDescent="0.25">
      <c r="C119" s="2">
        <v>33.75</v>
      </c>
      <c r="D119">
        <v>60.447604181930899</v>
      </c>
    </row>
    <row r="120" spans="3:4" x14ac:dyDescent="0.25">
      <c r="C120" s="2">
        <v>34</v>
      </c>
      <c r="D120">
        <v>60.272747706451703</v>
      </c>
    </row>
    <row r="121" spans="3:4" x14ac:dyDescent="0.25">
      <c r="C121" s="2">
        <v>34.25</v>
      </c>
      <c r="D121">
        <v>60.092710822144902</v>
      </c>
    </row>
    <row r="122" spans="3:4" x14ac:dyDescent="0.25">
      <c r="C122" s="2">
        <v>34.5</v>
      </c>
      <c r="D122">
        <v>59.907814901605903</v>
      </c>
    </row>
    <row r="123" spans="3:4" x14ac:dyDescent="0.25">
      <c r="C123" s="2">
        <v>34.75</v>
      </c>
      <c r="D123">
        <v>59.718534009476301</v>
      </c>
    </row>
    <row r="124" spans="3:4" x14ac:dyDescent="0.25">
      <c r="C124" s="2">
        <v>35</v>
      </c>
      <c r="D124">
        <v>59.525484082233604</v>
      </c>
    </row>
    <row r="125" spans="3:4" x14ac:dyDescent="0.25">
      <c r="C125" s="2">
        <v>35.25</v>
      </c>
      <c r="D125">
        <v>59.3291615236392</v>
      </c>
    </row>
    <row r="126" spans="3:4" x14ac:dyDescent="0.25">
      <c r="C126" s="2">
        <v>35.5</v>
      </c>
      <c r="D126">
        <v>59.129547278264603</v>
      </c>
    </row>
    <row r="127" spans="3:4" x14ac:dyDescent="0.25">
      <c r="C127" s="2">
        <v>35.75</v>
      </c>
      <c r="D127">
        <v>58.926493323836802</v>
      </c>
    </row>
    <row r="128" spans="3:4" x14ac:dyDescent="0.25">
      <c r="C128" s="2">
        <v>36</v>
      </c>
      <c r="D128">
        <v>58.7198466767084</v>
      </c>
    </row>
    <row r="129" spans="3:4" x14ac:dyDescent="0.25">
      <c r="C129" s="2">
        <v>36.25</v>
      </c>
      <c r="D129">
        <v>58.509123446100403</v>
      </c>
    </row>
    <row r="130" spans="3:4" x14ac:dyDescent="0.25">
      <c r="C130" s="2">
        <v>36.5</v>
      </c>
      <c r="D130">
        <v>58.292543912829103</v>
      </c>
    </row>
    <row r="131" spans="3:4" x14ac:dyDescent="0.25">
      <c r="C131" s="2">
        <v>36.75</v>
      </c>
      <c r="D131">
        <v>58.067183932754801</v>
      </c>
    </row>
    <row r="132" spans="3:4" x14ac:dyDescent="0.25">
      <c r="C132" s="2">
        <v>37</v>
      </c>
      <c r="D132">
        <v>57.827028006313903</v>
      </c>
    </row>
    <row r="133" spans="3:4" x14ac:dyDescent="0.25">
      <c r="C133" s="2">
        <v>37.25</v>
      </c>
      <c r="D133">
        <v>57.565332811867997</v>
      </c>
    </row>
    <row r="134" spans="3:4" x14ac:dyDescent="0.25">
      <c r="C134" s="2">
        <v>37.5</v>
      </c>
      <c r="D134">
        <v>57.275355027778602</v>
      </c>
    </row>
    <row r="135" spans="3:4" x14ac:dyDescent="0.25">
      <c r="C135" s="2">
        <v>37.75</v>
      </c>
      <c r="D135">
        <v>56.950351332407301</v>
      </c>
    </row>
    <row r="136" spans="3:4" x14ac:dyDescent="0.25">
      <c r="C136" s="2">
        <v>38</v>
      </c>
      <c r="D136">
        <v>56.583578404115798</v>
      </c>
    </row>
    <row r="137" spans="3:4" x14ac:dyDescent="0.25">
      <c r="C137" s="2">
        <v>38.25</v>
      </c>
      <c r="D137">
        <v>56.168292921265603</v>
      </c>
    </row>
    <row r="138" spans="3:4" x14ac:dyDescent="0.25">
      <c r="C138" s="2">
        <v>38.5</v>
      </c>
      <c r="D138">
        <v>55.697751562218301</v>
      </c>
    </row>
    <row r="139" spans="3:4" x14ac:dyDescent="0.25">
      <c r="C139" s="2">
        <v>38.75</v>
      </c>
      <c r="D139">
        <v>55.165108243012803</v>
      </c>
    </row>
    <row r="140" spans="3:4" x14ac:dyDescent="0.25">
      <c r="C140" s="2">
        <v>39</v>
      </c>
      <c r="D140">
        <v>54.560582718035199</v>
      </c>
    </row>
    <row r="141" spans="3:4" x14ac:dyDescent="0.25">
      <c r="C141" s="2">
        <v>39.25</v>
      </c>
      <c r="D141">
        <v>53.870369774218098</v>
      </c>
    </row>
    <row r="142" spans="3:4" x14ac:dyDescent="0.25">
      <c r="C142" s="2">
        <v>39.5</v>
      </c>
      <c r="D142">
        <v>53.076559069696799</v>
      </c>
    </row>
    <row r="143" spans="3:4" x14ac:dyDescent="0.25">
      <c r="C143" s="2">
        <v>39.75</v>
      </c>
      <c r="D143">
        <v>52.159212942067697</v>
      </c>
    </row>
    <row r="144" spans="3:4" x14ac:dyDescent="0.25">
      <c r="C144" s="2">
        <v>40</v>
      </c>
      <c r="D144">
        <v>51.098791540127998</v>
      </c>
    </row>
    <row r="145" spans="3:4" x14ac:dyDescent="0.25">
      <c r="C145" s="2">
        <v>40.25</v>
      </c>
      <c r="D145">
        <v>49.881402201918597</v>
      </c>
    </row>
    <row r="146" spans="3:4" x14ac:dyDescent="0.25">
      <c r="C146" s="2">
        <v>40.5</v>
      </c>
      <c r="D146">
        <v>48.511147259104703</v>
      </c>
    </row>
    <row r="147" spans="3:4" x14ac:dyDescent="0.25">
      <c r="C147" s="2">
        <v>40.75</v>
      </c>
      <c r="D147">
        <v>47.0061792260665</v>
      </c>
    </row>
    <row r="148" spans="3:4" x14ac:dyDescent="0.25">
      <c r="C148" s="2">
        <v>41</v>
      </c>
      <c r="D148">
        <v>45.393373101947397</v>
      </c>
    </row>
    <row r="149" spans="3:4" x14ac:dyDescent="0.25">
      <c r="C149" s="2">
        <v>41.25</v>
      </c>
      <c r="D149">
        <v>43.6964289182676</v>
      </c>
    </row>
    <row r="150" spans="3:4" x14ac:dyDescent="0.25">
      <c r="C150" s="2">
        <v>41.5</v>
      </c>
      <c r="D150">
        <v>41.932556366377597</v>
      </c>
    </row>
    <row r="151" spans="3:4" x14ac:dyDescent="0.25">
      <c r="C151" s="2">
        <v>41.75</v>
      </c>
      <c r="D151">
        <v>40.117718712474399</v>
      </c>
    </row>
    <row r="152" spans="3:4" x14ac:dyDescent="0.25">
      <c r="C152" s="2">
        <v>42</v>
      </c>
      <c r="D152">
        <v>38.261442987363502</v>
      </c>
    </row>
    <row r="153" spans="3:4" x14ac:dyDescent="0.25">
      <c r="C153" s="2">
        <v>42.25</v>
      </c>
      <c r="D153">
        <v>36.365806601809197</v>
      </c>
    </row>
    <row r="154" spans="3:4" x14ac:dyDescent="0.25">
      <c r="C154" s="2">
        <v>42.5</v>
      </c>
      <c r="D154">
        <v>34.432471208845698</v>
      </c>
    </row>
    <row r="155" spans="3:4" x14ac:dyDescent="0.25">
      <c r="C155" s="2">
        <v>42.75</v>
      </c>
      <c r="D155">
        <v>32.463098461507201</v>
      </c>
    </row>
    <row r="156" spans="3:4" x14ac:dyDescent="0.25">
      <c r="C156" s="2">
        <v>43</v>
      </c>
      <c r="D156">
        <v>30.459350012827901</v>
      </c>
    </row>
    <row r="157" spans="3:4" x14ac:dyDescent="0.25">
      <c r="C157" s="2">
        <v>43.25</v>
      </c>
      <c r="D157">
        <v>28.422887515842</v>
      </c>
    </row>
    <row r="158" spans="3:4" x14ac:dyDescent="0.25">
      <c r="C158" s="2">
        <v>43.5</v>
      </c>
      <c r="D158">
        <v>26.355372623583701</v>
      </c>
    </row>
    <row r="159" spans="3:4" x14ac:dyDescent="0.25">
      <c r="C159" s="2">
        <v>43.75</v>
      </c>
      <c r="D159">
        <v>24.258395971288301</v>
      </c>
    </row>
    <row r="160" spans="3:4" x14ac:dyDescent="0.25">
      <c r="C160" s="2">
        <v>44</v>
      </c>
      <c r="D160">
        <v>22.1330499294289</v>
      </c>
    </row>
    <row r="161" spans="3:4" x14ac:dyDescent="0.25">
      <c r="C161" s="2">
        <v>44.25</v>
      </c>
      <c r="D161">
        <v>19.9861235442207</v>
      </c>
    </row>
    <row r="162" spans="3:4" x14ac:dyDescent="0.25">
      <c r="C162" s="2">
        <v>44.5</v>
      </c>
      <c r="D162">
        <v>17.833300066954202</v>
      </c>
    </row>
    <row r="163" spans="3:4" x14ac:dyDescent="0.25">
      <c r="C163" s="2">
        <v>44.75</v>
      </c>
      <c r="D163">
        <v>15.6869648312103</v>
      </c>
    </row>
    <row r="164" spans="3:4" x14ac:dyDescent="0.25">
      <c r="C164" s="2">
        <v>45</v>
      </c>
      <c r="D164">
        <v>13.550715217091099</v>
      </c>
    </row>
    <row r="165" spans="3:4" x14ac:dyDescent="0.25">
      <c r="C165" s="2">
        <v>45.25</v>
      </c>
      <c r="D165">
        <v>11.420717266992099</v>
      </c>
    </row>
    <row r="166" spans="3:4" x14ac:dyDescent="0.25">
      <c r="C166" s="2">
        <v>45.5</v>
      </c>
      <c r="D166">
        <v>9.2922738071524105</v>
      </c>
    </row>
  </sheetData>
  <sortState xmlns:xlrd2="http://schemas.microsoft.com/office/spreadsheetml/2017/richdata2" ref="G3:H110">
    <sortCondition ref="H3:H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intersections.csv hand-editied 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 Sobering</cp:lastModifiedBy>
  <dcterms:created xsi:type="dcterms:W3CDTF">2026-09-19T21:27:49Z</dcterms:created>
  <dcterms:modified xsi:type="dcterms:W3CDTF">2026-09-19T22:14:58Z</dcterms:modified>
</cp:coreProperties>
</file>